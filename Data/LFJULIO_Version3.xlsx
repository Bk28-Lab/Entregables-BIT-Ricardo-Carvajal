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espi\Downloads\lazarus\"/>
    </mc:Choice>
  </mc:AlternateContent>
  <xr:revisionPtr revIDLastSave="0" documentId="8_{F6EA521B-E460-4120-B033-80440AA554C2}" xr6:coauthVersionLast="47" xr6:coauthVersionMax="47" xr10:uidLastSave="{00000000-0000-0000-0000-000000000000}"/>
  <bookViews>
    <workbookView xWindow="-110" yWindow="-110" windowWidth="19420" windowHeight="10300" xr2:uid="{00000000-000D-0000-FFFF-FFFF00000000}"/>
  </bookViews>
  <sheets>
    <sheet name="ENGATIVA" sheetId="1" r:id="rId1"/>
    <sheet name="SUBA" sheetId="2" r:id="rId2"/>
    <sheet name="CONEJERA" sheetId="3" r:id="rId3"/>
    <sheet name="Dashboar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6" i="3" l="1"/>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D13" i="4"/>
  <c r="C13" i="4"/>
  <c r="B13" i="4"/>
  <c r="C12" i="4"/>
  <c r="B12" i="4"/>
  <c r="D12" i="4" s="1"/>
  <c r="C11" i="4"/>
  <c r="B4" i="4" s="1"/>
  <c r="B11" i="4"/>
  <c r="B3" i="4" s="1"/>
  <c r="D11" i="4" l="1"/>
  <c r="B5" i="4" s="1"/>
</calcChain>
</file>

<file path=xl/sharedStrings.xml><?xml version="1.0" encoding="utf-8"?>
<sst xmlns="http://schemas.openxmlformats.org/spreadsheetml/2006/main" count="414" uniqueCount="387">
  <si>
    <t>DASHBOARD FLOTA</t>
  </si>
  <si>
    <t>Total móviles</t>
  </si>
  <si>
    <t>Revisados</t>
  </si>
  <si>
    <t>Pendientes</t>
  </si>
  <si>
    <t>Patio</t>
  </si>
  <si>
    <t>Total</t>
  </si>
  <si>
    <t>ENGATIVA</t>
  </si>
  <si>
    <t>SUBA</t>
  </si>
  <si>
    <t>CONEJERA</t>
  </si>
  <si>
    <t>MOVIL</t>
  </si>
  <si>
    <t>RUTERO FRONTAL</t>
  </si>
  <si>
    <t>RUTERO LATERAL</t>
  </si>
  <si>
    <t>RUTERO TRASERO</t>
  </si>
  <si>
    <t>COMANDO</t>
  </si>
  <si>
    <t>FUERA DE SERVICIO</t>
  </si>
  <si>
    <t>COMENTARIOS</t>
  </si>
  <si>
    <t>ESTADO</t>
  </si>
  <si>
    <t>Z10-2018</t>
  </si>
  <si>
    <t>Z10-2019</t>
  </si>
  <si>
    <t>Z10-2022</t>
  </si>
  <si>
    <t>Z10-2024</t>
  </si>
  <si>
    <t>Z10-2027</t>
  </si>
  <si>
    <t>Z10-2126</t>
  </si>
  <si>
    <t>Z10-2132</t>
  </si>
  <si>
    <t>Z10-2138</t>
  </si>
  <si>
    <t>Z10-2140</t>
  </si>
  <si>
    <t>Z10-2147</t>
  </si>
  <si>
    <t>Z10-2148</t>
  </si>
  <si>
    <t>Z10-2153</t>
  </si>
  <si>
    <t>Z10-2159</t>
  </si>
  <si>
    <t>Z10-2160</t>
  </si>
  <si>
    <t>Z10-2162</t>
  </si>
  <si>
    <t>Z10-2163</t>
  </si>
  <si>
    <t>Z10-2165</t>
  </si>
  <si>
    <t>PLACA 2 RUTERO FRONTAL PERFORADA</t>
  </si>
  <si>
    <t>Z10-2166</t>
  </si>
  <si>
    <t>Z10-2169</t>
  </si>
  <si>
    <t>Z10-2175</t>
  </si>
  <si>
    <t>Z10-2182</t>
  </si>
  <si>
    <t>Z10-2187</t>
  </si>
  <si>
    <t>Z10-2188</t>
  </si>
  <si>
    <t>Z10-2189</t>
  </si>
  <si>
    <t>Z10-2190</t>
  </si>
  <si>
    <t>Z10-2196</t>
  </si>
  <si>
    <t>Z10-2197</t>
  </si>
  <si>
    <t>Z10-2211</t>
  </si>
  <si>
    <t>Z10-2212</t>
  </si>
  <si>
    <t>Z10-2214</t>
  </si>
  <si>
    <t>Z10-2215</t>
  </si>
  <si>
    <t>Z10-2216</t>
  </si>
  <si>
    <t>Z10-2217</t>
  </si>
  <si>
    <t>Z10-2220</t>
  </si>
  <si>
    <t>Z10-2222</t>
  </si>
  <si>
    <t>Z10-2223</t>
  </si>
  <si>
    <t>Z10-2229</t>
  </si>
  <si>
    <t>Z10-2232</t>
  </si>
  <si>
    <t>Z10-2235</t>
  </si>
  <si>
    <t>Z10-2238</t>
  </si>
  <si>
    <t>Z10-2239</t>
  </si>
  <si>
    <t>REVISAR RUTERO FRONTAL</t>
  </si>
  <si>
    <t>Z10-2240</t>
  </si>
  <si>
    <t>Z10-2242</t>
  </si>
  <si>
    <t>Z10-2243</t>
  </si>
  <si>
    <t>Z10-2244</t>
  </si>
  <si>
    <t>Z10-2249</t>
  </si>
  <si>
    <t>Z10-2251</t>
  </si>
  <si>
    <t>Z10-2254</t>
  </si>
  <si>
    <t>Z10-2255</t>
  </si>
  <si>
    <t>Z10-2260</t>
  </si>
  <si>
    <t>Z10-2264</t>
  </si>
  <si>
    <t>NO TIENE RUTERO LATERAL</t>
  </si>
  <si>
    <t>Z10-2268</t>
  </si>
  <si>
    <t>Z10-2272</t>
  </si>
  <si>
    <t>Z10-2274</t>
  </si>
  <si>
    <t>Z10-2276</t>
  </si>
  <si>
    <t>Z10-2279</t>
  </si>
  <si>
    <t>Z10-2289</t>
  </si>
  <si>
    <t>Z10-2296</t>
  </si>
  <si>
    <t>Z10-2298</t>
  </si>
  <si>
    <t>Z10-4126</t>
  </si>
  <si>
    <t>Z10-4183</t>
  </si>
  <si>
    <t>Z10-4208</t>
  </si>
  <si>
    <t>Z10-4282</t>
  </si>
  <si>
    <t>SALE REPARACIÓN</t>
  </si>
  <si>
    <t>Z10-4327</t>
  </si>
  <si>
    <t>Z10-4332</t>
  </si>
  <si>
    <t>Z10-4336</t>
  </si>
  <si>
    <t>Z10-4341</t>
  </si>
  <si>
    <t>Z10-4347</t>
  </si>
  <si>
    <t>Z10-4367</t>
  </si>
  <si>
    <t>Z10-4369</t>
  </si>
  <si>
    <t>Z10-4372</t>
  </si>
  <si>
    <t>Z10-4374</t>
  </si>
  <si>
    <t>Z10-4385</t>
  </si>
  <si>
    <t>Z10-4455</t>
  </si>
  <si>
    <t>Z10-4460</t>
  </si>
  <si>
    <t>Z10-4463</t>
  </si>
  <si>
    <t>Z10-4468</t>
  </si>
  <si>
    <t>Z10-4487</t>
  </si>
  <si>
    <t>Z10-4527</t>
  </si>
  <si>
    <t>RUTERO LATERAL DAÑADO</t>
  </si>
  <si>
    <t>Z10-4532</t>
  </si>
  <si>
    <t>Z10-4534</t>
  </si>
  <si>
    <t>Z10-4535</t>
  </si>
  <si>
    <t>Z10-4538</t>
  </si>
  <si>
    <t>Z10-4539</t>
  </si>
  <si>
    <t>Z10-4542</t>
  </si>
  <si>
    <t>Z10-4553</t>
  </si>
  <si>
    <t>Z10-4556</t>
  </si>
  <si>
    <t>Z10-4560</t>
  </si>
  <si>
    <t>Z10-4561</t>
  </si>
  <si>
    <t>Z10-4563</t>
  </si>
  <si>
    <t>Z10-4569</t>
  </si>
  <si>
    <t>Z10-4572</t>
  </si>
  <si>
    <t>Z10-4582</t>
  </si>
  <si>
    <t>Z10-4590</t>
  </si>
  <si>
    <t>Z10-4596</t>
  </si>
  <si>
    <t>Z10-4611</t>
  </si>
  <si>
    <t>Z10-4614</t>
  </si>
  <si>
    <t>Z10-4625</t>
  </si>
  <si>
    <t>Z10-4654</t>
  </si>
  <si>
    <t>Z10-4655</t>
  </si>
  <si>
    <t>Z10-4700</t>
  </si>
  <si>
    <t>Z10-7258</t>
  </si>
  <si>
    <t>Z10-7259</t>
  </si>
  <si>
    <t>Z10-7263</t>
  </si>
  <si>
    <t>Z10-7266</t>
  </si>
  <si>
    <t>Z10-7268</t>
  </si>
  <si>
    <t>Z10-7270</t>
  </si>
  <si>
    <t>Z10-7273</t>
  </si>
  <si>
    <t>Z10-7274</t>
  </si>
  <si>
    <t>Z10-7275</t>
  </si>
  <si>
    <t>Z10-7277</t>
  </si>
  <si>
    <t>Z10-7278</t>
  </si>
  <si>
    <t>Z10-7279</t>
  </si>
  <si>
    <t>Z10-7284</t>
  </si>
  <si>
    <t>Z10-7285</t>
  </si>
  <si>
    <t>Z10-7286</t>
  </si>
  <si>
    <t>Z10-7288</t>
  </si>
  <si>
    <t>Z10-7289</t>
  </si>
  <si>
    <t>Z10-7290</t>
  </si>
  <si>
    <t>Z10-7293</t>
  </si>
  <si>
    <t>Z10-7330</t>
  </si>
  <si>
    <t>Z10-2131</t>
  </si>
  <si>
    <t>Z10-2133</t>
  </si>
  <si>
    <t>Z10-2144</t>
  </si>
  <si>
    <t>Z10-2151</t>
  </si>
  <si>
    <t>Z10-2152</t>
  </si>
  <si>
    <t>Z10-2154</t>
  </si>
  <si>
    <t>Z10-2155</t>
  </si>
  <si>
    <t>Z10-2161</t>
  </si>
  <si>
    <t>Z10-2164</t>
  </si>
  <si>
    <t>Z10-2179</t>
  </si>
  <si>
    <t>Z10-2180</t>
  </si>
  <si>
    <t>Z10-2181</t>
  </si>
  <si>
    <t>Z10-2183</t>
  </si>
  <si>
    <t>Z10-2185</t>
  </si>
  <si>
    <t>Z10-2186</t>
  </si>
  <si>
    <t>Z10-2193</t>
  </si>
  <si>
    <t>Z10-2201</t>
  </si>
  <si>
    <t>Z10-2227</t>
  </si>
  <si>
    <t>Z10-2245</t>
  </si>
  <si>
    <t>Z10-2263</t>
  </si>
  <si>
    <t>Z10-2271</t>
  </si>
  <si>
    <t>Z10-2275</t>
  </si>
  <si>
    <t>Z10-4270</t>
  </si>
  <si>
    <t>Z10-4278</t>
  </si>
  <si>
    <t>Z10-4279</t>
  </si>
  <si>
    <t>Z10-4284</t>
  </si>
  <si>
    <t>Z10-4288</t>
  </si>
  <si>
    <t>Z10-4289</t>
  </si>
  <si>
    <t>Z10-4299</t>
  </si>
  <si>
    <t>Z10-4301</t>
  </si>
  <si>
    <t>Z10-4306</t>
  </si>
  <si>
    <t>Z10-4312</t>
  </si>
  <si>
    <t>Z10-4316</t>
  </si>
  <si>
    <t>Z10-4321</t>
  </si>
  <si>
    <t>Z10-4325</t>
  </si>
  <si>
    <t>Z10-4333</t>
  </si>
  <si>
    <t>Z10-4338</t>
  </si>
  <si>
    <t>Z10-4342</t>
  </si>
  <si>
    <t>Z10-4343</t>
  </si>
  <si>
    <t>Z10-4345</t>
  </si>
  <si>
    <t>Z10-4353</t>
  </si>
  <si>
    <t>Z10-4370</t>
  </si>
  <si>
    <t>Z10-4371</t>
  </si>
  <si>
    <t>Z10-4373</t>
  </si>
  <si>
    <t>Z10-4376</t>
  </si>
  <si>
    <t>Z10-4378</t>
  </si>
  <si>
    <t>Z10-4381</t>
  </si>
  <si>
    <t>Z10-4382</t>
  </si>
  <si>
    <t>Z10-4388</t>
  </si>
  <si>
    <t>Z10-4389</t>
  </si>
  <si>
    <t>Z10-4391</t>
  </si>
  <si>
    <t>Z10-4406</t>
  </si>
  <si>
    <t>Z10-4409</t>
  </si>
  <si>
    <t>Z10-4412</t>
  </si>
  <si>
    <t>Z10-4418</t>
  </si>
  <si>
    <t>Z10-4425</t>
  </si>
  <si>
    <t>Z10-4426</t>
  </si>
  <si>
    <t>Z10-4427</t>
  </si>
  <si>
    <t>Z10-4431</t>
  </si>
  <si>
    <t>Z10-4436</t>
  </si>
  <si>
    <t>Z10-4441</t>
  </si>
  <si>
    <t>Z10-4447</t>
  </si>
  <si>
    <t>Z10-4449</t>
  </si>
  <si>
    <t>Z10-4450</t>
  </si>
  <si>
    <t>Z10-4451</t>
  </si>
  <si>
    <t>Z10-4454</t>
  </si>
  <si>
    <t>Z10-4458</t>
  </si>
  <si>
    <t>Z10-4484</t>
  </si>
  <si>
    <t>Z10-4486</t>
  </si>
  <si>
    <t>Z10-4497</t>
  </si>
  <si>
    <t>Z10-4498</t>
  </si>
  <si>
    <t>Z10-4499</t>
  </si>
  <si>
    <t>Z10-4503</t>
  </si>
  <si>
    <t>Z10-4507</t>
  </si>
  <si>
    <t>Z10-4508</t>
  </si>
  <si>
    <t>Z10-4511</t>
  </si>
  <si>
    <t>Z10-4521</t>
  </si>
  <si>
    <t>Z10-4523</t>
  </si>
  <si>
    <t>Z10-4530</t>
  </si>
  <si>
    <t>Z10-4541</t>
  </si>
  <si>
    <t>Z10-4543</t>
  </si>
  <si>
    <t>Z10-4549</t>
  </si>
  <si>
    <t>Z10-4550</t>
  </si>
  <si>
    <t>Z10-4565</t>
  </si>
  <si>
    <t>Z10-4567</t>
  </si>
  <si>
    <t>Z10-4568</t>
  </si>
  <si>
    <t>Z10-4573</t>
  </si>
  <si>
    <t>Z10-4579</t>
  </si>
  <si>
    <t>Z10-4583</t>
  </si>
  <si>
    <t>Z10-4587</t>
  </si>
  <si>
    <t>Z10-4592</t>
  </si>
  <si>
    <t>Z10-4593</t>
  </si>
  <si>
    <t>Z10-4594</t>
  </si>
  <si>
    <t>Z10-4598</t>
  </si>
  <si>
    <t>Z10-4599</t>
  </si>
  <si>
    <t>Z10-4600</t>
  </si>
  <si>
    <t>Z10-4605</t>
  </si>
  <si>
    <t>Z10-4606</t>
  </si>
  <si>
    <t>Z10-4608</t>
  </si>
  <si>
    <t>Z10-4613</t>
  </si>
  <si>
    <t>Z10-4620</t>
  </si>
  <si>
    <t>Z10-4627</t>
  </si>
  <si>
    <t>Z10-4632</t>
  </si>
  <si>
    <t>Z10-4638</t>
  </si>
  <si>
    <t>Z10-4683</t>
  </si>
  <si>
    <t>Z10-4684</t>
  </si>
  <si>
    <t>Z10-7267</t>
  </si>
  <si>
    <t>Z10-7282</t>
  </si>
  <si>
    <t>Z10-7283</t>
  </si>
  <si>
    <t>Z10-7294</t>
  </si>
  <si>
    <t>Z10-7323</t>
  </si>
  <si>
    <t>Z10-7324</t>
  </si>
  <si>
    <t>Z10-7326</t>
  </si>
  <si>
    <t>Z10-7327</t>
  </si>
  <si>
    <t>Z10-7328</t>
  </si>
  <si>
    <t>Z10-7332</t>
  </si>
  <si>
    <t>Z10-7333</t>
  </si>
  <si>
    <t>Z10-4275</t>
  </si>
  <si>
    <t>Z10-4384</t>
  </si>
  <si>
    <t>Z10-4445</t>
  </si>
  <si>
    <t>Z10-4559</t>
  </si>
  <si>
    <t>Z10-4648</t>
  </si>
  <si>
    <t>Z10-4362</t>
  </si>
  <si>
    <t>Z10-4134</t>
  </si>
  <si>
    <t>Z10-4159</t>
  </si>
  <si>
    <t>Z10-4203</t>
  </si>
  <si>
    <t>Z10-4209</t>
  </si>
  <si>
    <t>Z10-4237</t>
  </si>
  <si>
    <t>Z10-4253</t>
  </si>
  <si>
    <t>Z10-4254</t>
  </si>
  <si>
    <t>Z10-4263</t>
  </si>
  <si>
    <t>Z10-4267</t>
  </si>
  <si>
    <t>Z10-4269</t>
  </si>
  <si>
    <t>Z10-4274</t>
  </si>
  <si>
    <t>Z10-4276</t>
  </si>
  <si>
    <t>Z10-4280</t>
  </si>
  <si>
    <t>Z10-4286</t>
  </si>
  <si>
    <t>Z10-4287</t>
  </si>
  <si>
    <t>Z10-4293</t>
  </si>
  <si>
    <t>Z10-4297</t>
  </si>
  <si>
    <t>Z10-4304</t>
  </si>
  <si>
    <t>Z10-4313</t>
  </si>
  <si>
    <t>Z10-4315</t>
  </si>
  <si>
    <t>Z10-4344</t>
  </si>
  <si>
    <t>Z10-4348</t>
  </si>
  <si>
    <t>Z10-4366</t>
  </si>
  <si>
    <t>Z10-4377</t>
  </si>
  <si>
    <t>Z10-4386</t>
  </si>
  <si>
    <t>Z10-4392</t>
  </si>
  <si>
    <t>Z10-4399</t>
  </si>
  <si>
    <t>Z10-4403</t>
  </si>
  <si>
    <t>Z10-4405</t>
  </si>
  <si>
    <t>Z10-4407</t>
  </si>
  <si>
    <t>Z10-4423</t>
  </si>
  <si>
    <t>Z10-4435</t>
  </si>
  <si>
    <t>Z10-4439</t>
  </si>
  <si>
    <t>Z10-4446</t>
  </si>
  <si>
    <t>Z10-4457</t>
  </si>
  <si>
    <t>Z10-4464</t>
  </si>
  <si>
    <t>Z10-4467</t>
  </si>
  <si>
    <t>Z10-4472</t>
  </si>
  <si>
    <t>Z10-4480</t>
  </si>
  <si>
    <t>Z10-4481</t>
  </si>
  <si>
    <t>Z10-4496</t>
  </si>
  <si>
    <t>Z10-4504</t>
  </si>
  <si>
    <t>Z10-4513</t>
  </si>
  <si>
    <t>Z10-4517</t>
  </si>
  <si>
    <t>Z10-4536</t>
  </si>
  <si>
    <t>Z10-4540</t>
  </si>
  <si>
    <t>Z10-4548</t>
  </si>
  <si>
    <t>Z10-4554</t>
  </si>
  <si>
    <t>Z10-4558</t>
  </si>
  <si>
    <t>Z10-4562</t>
  </si>
  <si>
    <t>Z10-4566</t>
  </si>
  <si>
    <t>Z10-4597</t>
  </si>
  <si>
    <t>Z10-4604</t>
  </si>
  <si>
    <t>Z10-4609</t>
  </si>
  <si>
    <t>Z10-4618</t>
  </si>
  <si>
    <t>Z10-4619</t>
  </si>
  <si>
    <t>Z10-4639</t>
  </si>
  <si>
    <t>Z10-4641</t>
  </si>
  <si>
    <t>Z10-4642</t>
  </si>
  <si>
    <t>Z10-4690</t>
  </si>
  <si>
    <t>Z10-7125</t>
  </si>
  <si>
    <t>Z10-7126</t>
  </si>
  <si>
    <t>Z10-7127</t>
  </si>
  <si>
    <t>Z10-7128</t>
  </si>
  <si>
    <t>Z10-7129</t>
  </si>
  <si>
    <t>Z10-7132</t>
  </si>
  <si>
    <t>Z10-7133</t>
  </si>
  <si>
    <t>Z10-7134</t>
  </si>
  <si>
    <t>Z10-7135</t>
  </si>
  <si>
    <t>Z10-7137</t>
  </si>
  <si>
    <t>Z10-7138</t>
  </si>
  <si>
    <t>Z10-7139</t>
  </si>
  <si>
    <t>Z10-7140</t>
  </si>
  <si>
    <t>Z10-7142</t>
  </si>
  <si>
    <t>Z10-7143</t>
  </si>
  <si>
    <t>Z10-7144</t>
  </si>
  <si>
    <t>Z10-7145</t>
  </si>
  <si>
    <t>Z10-7146</t>
  </si>
  <si>
    <t>Z10-7147</t>
  </si>
  <si>
    <t>Z10-7148</t>
  </si>
  <si>
    <t>Z10-7149</t>
  </si>
  <si>
    <t>Z10-7151</t>
  </si>
  <si>
    <t>Z10-7152</t>
  </si>
  <si>
    <t>Z10-7153</t>
  </si>
  <si>
    <t>Z10-7154</t>
  </si>
  <si>
    <t>Z10-7155</t>
  </si>
  <si>
    <t>Z10-7156</t>
  </si>
  <si>
    <t>Z10-7157</t>
  </si>
  <si>
    <t>Z10-7159</t>
  </si>
  <si>
    <t>Z10-7160</t>
  </si>
  <si>
    <t>Z10-7161</t>
  </si>
  <si>
    <t>Z10-7162</t>
  </si>
  <si>
    <t>Z10-7163</t>
  </si>
  <si>
    <t>Z10-7164</t>
  </si>
  <si>
    <t>Z10-7165</t>
  </si>
  <si>
    <t>Z10-7166</t>
  </si>
  <si>
    <t>Z10-7168</t>
  </si>
  <si>
    <t>Z10-7169</t>
  </si>
  <si>
    <t>Z10-7170</t>
  </si>
  <si>
    <t>Z10-7171</t>
  </si>
  <si>
    <t>Z10-7172</t>
  </si>
  <si>
    <t>Z10-7178</t>
  </si>
  <si>
    <t>Z10-7187</t>
  </si>
  <si>
    <t>Z10-7203</t>
  </si>
  <si>
    <t>Z10-7251</t>
  </si>
  <si>
    <t>Z10-7252</t>
  </si>
  <si>
    <t>Z10-7253</t>
  </si>
  <si>
    <t>Z10-7254</t>
  </si>
  <si>
    <t>Z10-7255</t>
  </si>
  <si>
    <t>Z10-7256</t>
  </si>
  <si>
    <t>Z10-7257</t>
  </si>
  <si>
    <t>Z10-7260</t>
  </si>
  <si>
    <t>Z10-7291</t>
  </si>
  <si>
    <t>Z10-7292</t>
  </si>
  <si>
    <t>Z10-7295</t>
  </si>
  <si>
    <t>Z10-7296</t>
  </si>
  <si>
    <t>Z10-7300</t>
  </si>
  <si>
    <t>Z10-7301</t>
  </si>
  <si>
    <t>Z10-7331</t>
  </si>
  <si>
    <t>Z10-4440</t>
  </si>
  <si>
    <t>Z10-4575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</si>
</sst>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rgb="FFFFFFFF"/>
      <name val="Aptos Narrow"/>
    </font>
    <font>
      <b/>
      <sz val="18"/>
      <name val="Aptos Narrow"/>
    </font>
    <font>
      <b/>
      <sz val="11"/>
      <color theme="1"/>
      <name val="Arial"/>
      <family val="2"/>
    </font>
  </fonts>
  <fills count="6">
    <fill>
      <patternFill patternType="none"/>
    </fill>
    <fill>
      <patternFill patternType="gray125"/>
    </fill>
    <fill>
      <patternFill patternType="solid">
        <fgColor theme="2" tint="-0.249977111117893"/>
        <bgColor indexed="64"/>
      </patternFill>
    </fill>
    <fill>
      <patternFill patternType="solid">
        <fgColor rgb="FF2E7D32"/>
      </patternFill>
    </fill>
    <fill>
      <patternFill patternType="solid">
        <fgColor rgb="FF1565C0"/>
      </patternFill>
    </fill>
    <fill>
      <patternFill patternType="solid">
        <fgColor rgb="FFF9A82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xf numFmtId="0" fontId="2" fillId="0" borderId="0" xfId="0" applyFont="1"/>
    <xf numFmtId="0" fontId="1" fillId="3" borderId="1" xfId="0" applyFont="1" applyFill="1" applyBorder="1" applyAlignment="1">
      <alignment horizontal="center"/>
    </xf>
    <xf numFmtId="9" fontId="1" fillId="3" borderId="1" xfId="0" applyNumberFormat="1"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3" fillId="2" borderId="1" xfId="0" applyFont="1" applyFill="1" applyBorder="1" applyAlignment="1">
      <alignment horizontal="center" vertical="center"/>
    </xf>
    <xf numFmtId="0" fontId="3" fillId="2" borderId="1" xfId="0" applyFont="1" applyFill="1" applyBorder="1"/>
    <xf numFmtId="0" fontId="3" fillId="0" borderId="1" xfId="0" applyFont="1" applyBorder="1"/>
    <xf numFmtId="0" fontId="3" fillId="2"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plotArea>
      <c:layout/>
      <c:barChart>
        <c:barDir val="col"/>
        <c:grouping val="clustered"/>
        <c:varyColors val="1"/>
        <c:ser>
          <c:idx val="0"/>
          <c:order val="0"/>
          <c:spPr>
            <a:ln>
              <a:prstDash val="solid"/>
            </a:ln>
          </c:spPr>
          <c:invertIfNegative val="1"/>
          <c:cat>
            <c:strRef>
              <c:f>Dashboard!$A$9:$A$13</c:f>
              <c:strCache>
                <c:ptCount val="5"/>
                <c:pt idx="1">
                  <c:v>Patio</c:v>
                </c:pt>
                <c:pt idx="2">
                  <c:v>ENGATIVA</c:v>
                </c:pt>
                <c:pt idx="3">
                  <c:v>SUBA</c:v>
                </c:pt>
                <c:pt idx="4">
                  <c:v>CONEJERA</c:v>
                </c:pt>
              </c:strCache>
            </c:strRef>
          </c:cat>
          <c:val>
            <c:numRef>
              <c:f>Dashboard!$B$9:$B$13</c:f>
              <c:numCache>
                <c:formatCode>General</c:formatCode>
                <c:ptCount val="5"/>
                <c:pt idx="1">
                  <c:v>0</c:v>
                </c:pt>
                <c:pt idx="2">
                  <c:v>121</c:v>
                </c:pt>
                <c:pt idx="3">
                  <c:v>128</c:v>
                </c:pt>
                <c:pt idx="4">
                  <c:v>125</c:v>
                </c:pt>
              </c:numCache>
            </c:numRef>
          </c:val>
          <c:extLst>
            <c:ext xmlns:c16="http://schemas.microsoft.com/office/drawing/2014/chart" uri="{C3380CC4-5D6E-409C-BE32-E72D297353CC}">
              <c16:uniqueId val="{00000000-CFB1-40A7-964E-4E7B63BAF34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plotArea>
      <c:layout/>
      <c:barChart>
        <c:barDir val="col"/>
        <c:grouping val="clustered"/>
        <c:varyColors val="1"/>
        <c:ser>
          <c:idx val="0"/>
          <c:order val="0"/>
          <c:tx>
            <c:strRef>
              <c:f>Dashboard!$C$10</c:f>
              <c:strCache>
                <c:ptCount val="1"/>
                <c:pt idx="0">
                  <c:v>Revisados</c:v>
                </c:pt>
              </c:strCache>
            </c:strRef>
          </c:tx>
          <c:spPr>
            <a:ln>
              <a:prstDash val="solid"/>
            </a:ln>
          </c:spPr>
          <c:invertIfNegative val="1"/>
          <c:cat>
            <c:strRef>
              <c:f>Dashboard!$A$11:$A$13</c:f>
              <c:strCache>
                <c:ptCount val="3"/>
                <c:pt idx="0">
                  <c:v>ENGATIVA</c:v>
                </c:pt>
                <c:pt idx="1">
                  <c:v>SUBA</c:v>
                </c:pt>
                <c:pt idx="2">
                  <c:v>CONEJERA</c:v>
                </c:pt>
              </c:strCache>
            </c:strRef>
          </c:cat>
          <c:val>
            <c:numRef>
              <c:f>Dashboard!$C$11:$C$13</c:f>
              <c:numCache>
                <c:formatCode>General</c:formatCode>
                <c:ptCount val="3"/>
                <c:pt idx="0">
                  <c:v>0</c:v>
                </c:pt>
                <c:pt idx="1">
                  <c:v>0</c:v>
                </c:pt>
                <c:pt idx="2">
                  <c:v>0</c:v>
                </c:pt>
              </c:numCache>
            </c:numRef>
          </c:val>
          <c:extLst>
            <c:ext xmlns:c16="http://schemas.microsoft.com/office/drawing/2014/chart" uri="{C3380CC4-5D6E-409C-BE32-E72D297353CC}">
              <c16:uniqueId val="{00000000-2D6D-4A41-A967-13E6EEAB67FB}"/>
            </c:ext>
          </c:extLst>
        </c:ser>
        <c:ser>
          <c:idx val="1"/>
          <c:order val="1"/>
          <c:tx>
            <c:strRef>
              <c:f>Dashboard!$D$10</c:f>
              <c:strCache>
                <c:ptCount val="1"/>
                <c:pt idx="0">
                  <c:v>Pendientes</c:v>
                </c:pt>
              </c:strCache>
            </c:strRef>
          </c:tx>
          <c:spPr>
            <a:solidFill>
              <a:srgbClr val="A02B93"/>
            </a:solidFill>
            <a:ln>
              <a:prstDash val="solid"/>
            </a:ln>
          </c:spPr>
          <c:invertIfNegative val="1"/>
          <c:cat>
            <c:strRef>
              <c:f>Dashboard!$A$11:$A$13</c:f>
              <c:strCache>
                <c:ptCount val="3"/>
                <c:pt idx="0">
                  <c:v>ENGATIVA</c:v>
                </c:pt>
                <c:pt idx="1">
                  <c:v>SUBA</c:v>
                </c:pt>
                <c:pt idx="2">
                  <c:v>CONEJERA</c:v>
                </c:pt>
              </c:strCache>
            </c:strRef>
          </c:cat>
          <c:val>
            <c:numRef>
              <c:f>Dashboard!$D$11:$D$13</c:f>
              <c:numCache>
                <c:formatCode>General</c:formatCode>
                <c:ptCount val="3"/>
                <c:pt idx="0">
                  <c:v>121</c:v>
                </c:pt>
                <c:pt idx="1">
                  <c:v>128</c:v>
                </c:pt>
                <c:pt idx="2">
                  <c:v>125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D6D-4A41-A967-13E6EEAB67F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412750</xdr:colOff>
      <xdr:row>1</xdr:row>
      <xdr:rowOff>127000</xdr:rowOff>
    </xdr:from>
    <xdr:ext cx="5400000" cy="27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18</xdr:col>
      <xdr:colOff>592667</xdr:colOff>
      <xdr:row>1</xdr:row>
      <xdr:rowOff>105834</xdr:rowOff>
    </xdr:from>
    <xdr:ext cx="5400000" cy="270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H122"/>
  <sheetViews>
    <sheetView tabSelected="1" zoomScale="90" zoomScaleNormal="90" workbookViewId="0">
      <selection activeCell="J5" sqref="J5"/>
    </sheetView>
  </sheetViews>
  <sheetFormatPr baseColWidth="10" defaultRowHeight="14.5" x14ac:dyDescent="0.35"/>
  <cols>
    <col min="1" max="1" width="9.36328125" bestFit="1" customWidth="1"/>
    <col min="2" max="2" width="19.6328125" bestFit="1" customWidth="1"/>
    <col min="3" max="3" width="19.36328125" bestFit="1" customWidth="1"/>
    <col min="4" max="4" width="20" bestFit="1" customWidth="1"/>
    <col min="5" max="5" width="11.36328125" bestFit="1" customWidth="1"/>
    <col min="6" max="6" width="21.1796875" bestFit="1" customWidth="1"/>
    <col min="7" max="7" width="48.81640625" customWidth="1"/>
    <col min="8" max="8" width="13.453125" bestFit="1" customWidth="1"/>
  </cols>
  <sheetData>
    <row r="1" spans="1:8" x14ac:dyDescent="0.35">
      <c r="A1" s="7" t="s">
        <v>9</v>
      </c>
      <c r="B1" s="7" t="s">
        <v>10</v>
      </c>
      <c r="C1" s="7" t="s">
        <v>11</v>
      </c>
      <c r="D1" s="7" t="s">
        <v>12</v>
      </c>
      <c r="E1" s="7" t="s">
        <v>13</v>
      </c>
      <c r="F1" s="7" t="s">
        <v>14</v>
      </c>
      <c r="G1" s="7" t="s">
        <v>15</v>
      </c>
      <c r="H1" s="8" t="s">
        <v>16</v>
      </c>
    </row>
    <row r="2" spans="1:8" x14ac:dyDescent="0.35">
      <c r="A2" s="8" t="s">
        <v>17</v>
      </c>
      <c r="B2" s="9"/>
      <c r="C2" s="9"/>
      <c r="D2" s="9"/>
      <c r="E2" s="9"/>
      <c r="F2" s="9"/>
      <c r="G2" s="9"/>
      <c r="H2" s="9" t="str">
        <f t="shared" ref="H2:H33" si="0">IF(F2="Sí","FUERA DE SERVICIO",IF(AND(B2="Sí",C2="Sí",D2="Sí",E2="Sí"),"COMPLETO",IF(COUNTIF(B2:E2,"Sí")&gt;0,"EN PROCESO","SIN REVISAR")))</f>
        <v>SIN REVISAR</v>
      </c>
    </row>
    <row r="3" spans="1:8" x14ac:dyDescent="0.35">
      <c r="A3" s="8" t="s">
        <v>18</v>
      </c>
      <c r="B3" s="9"/>
      <c r="C3" s="9"/>
      <c r="D3" s="9"/>
      <c r="E3" s="9"/>
      <c r="F3" s="9"/>
      <c r="G3" s="9"/>
      <c r="H3" s="9" t="str">
        <f t="shared" si="0"/>
        <v>SIN REVISAR</v>
      </c>
    </row>
    <row r="4" spans="1:8" x14ac:dyDescent="0.35">
      <c r="A4" s="8" t="s">
        <v>19</v>
      </c>
      <c r="B4" s="9"/>
      <c r="C4" s="9"/>
      <c r="D4" s="9"/>
      <c r="E4" s="9"/>
      <c r="F4" s="9"/>
      <c r="G4" s="9"/>
      <c r="H4" s="9" t="str">
        <f t="shared" si="0"/>
        <v>SIN REVISAR</v>
      </c>
    </row>
    <row r="5" spans="1:8" x14ac:dyDescent="0.35">
      <c r="A5" s="8" t="s">
        <v>20</v>
      </c>
      <c r="B5" s="9"/>
      <c r="C5" s="9"/>
      <c r="D5" s="9"/>
      <c r="E5" s="9"/>
      <c r="F5" s="9"/>
      <c r="G5" s="9"/>
      <c r="H5" s="9" t="str">
        <f t="shared" si="0"/>
        <v>SIN REVISAR</v>
      </c>
    </row>
    <row r="6" spans="1:8" x14ac:dyDescent="0.35">
      <c r="A6" s="8" t="s">
        <v>21</v>
      </c>
      <c r="B6" s="9"/>
      <c r="C6" s="9"/>
      <c r="D6" s="9"/>
      <c r="E6" s="9"/>
      <c r="F6" s="9"/>
      <c r="G6" s="9"/>
      <c r="H6" s="9" t="str">
        <f t="shared" si="0"/>
        <v>SIN REVISAR</v>
      </c>
    </row>
    <row r="7" spans="1:8" x14ac:dyDescent="0.35">
      <c r="A7" s="8" t="s">
        <v>22</v>
      </c>
      <c r="B7" s="9"/>
      <c r="C7" s="9"/>
      <c r="D7" s="9"/>
      <c r="E7" s="9"/>
      <c r="F7" s="9"/>
      <c r="G7" s="9"/>
      <c r="H7" s="9" t="str">
        <f t="shared" si="0"/>
        <v>SIN REVISAR</v>
      </c>
    </row>
    <row r="8" spans="1:8" x14ac:dyDescent="0.35">
      <c r="A8" s="8" t="s">
        <v>23</v>
      </c>
      <c r="B8" s="9"/>
      <c r="C8" s="9"/>
      <c r="D8" s="9"/>
      <c r="E8" s="9"/>
      <c r="F8" s="9"/>
      <c r="G8" s="9"/>
      <c r="H8" s="9" t="str">
        <f t="shared" si="0"/>
        <v>SIN REVISAR</v>
      </c>
    </row>
    <row r="9" spans="1:8" x14ac:dyDescent="0.35">
      <c r="A9" s="8" t="s">
        <v>24</v>
      </c>
      <c r="B9" s="9"/>
      <c r="C9" s="9"/>
      <c r="D9" s="9"/>
      <c r="E9" s="9"/>
      <c r="F9" s="9"/>
      <c r="G9" s="9"/>
      <c r="H9" s="9" t="str">
        <f t="shared" si="0"/>
        <v>SIN REVISAR</v>
      </c>
    </row>
    <row r="10" spans="1:8" x14ac:dyDescent="0.35">
      <c r="A10" s="8" t="s">
        <v>25</v>
      </c>
      <c r="B10" s="9"/>
      <c r="C10" s="9"/>
      <c r="D10" s="9"/>
      <c r="E10" s="9"/>
      <c r="F10" s="9"/>
      <c r="G10" s="9"/>
      <c r="H10" s="9" t="str">
        <f t="shared" si="0"/>
        <v>SIN REVISAR</v>
      </c>
    </row>
    <row r="11" spans="1:8" x14ac:dyDescent="0.35">
      <c r="A11" s="8" t="s">
        <v>26</v>
      </c>
      <c r="B11" s="9"/>
      <c r="C11" s="9"/>
      <c r="D11" s="9"/>
      <c r="E11" s="9"/>
      <c r="F11" s="9"/>
      <c r="G11" s="9"/>
      <c r="H11" s="9" t="str">
        <f t="shared" si="0"/>
        <v>SIN REVISAR</v>
      </c>
    </row>
    <row r="12" spans="1:8" x14ac:dyDescent="0.35">
      <c r="A12" s="8" t="s">
        <v>27</v>
      </c>
      <c r="B12" s="9"/>
      <c r="C12" s="9"/>
      <c r="D12" s="9"/>
      <c r="E12" s="9"/>
      <c r="F12" s="9"/>
      <c r="G12" s="9"/>
      <c r="H12" s="9" t="str">
        <f t="shared" si="0"/>
        <v>SIN REVISAR</v>
      </c>
    </row>
    <row r="13" spans="1:8" x14ac:dyDescent="0.35">
      <c r="A13" s="8" t="s">
        <v>28</v>
      </c>
      <c r="B13" s="9"/>
      <c r="C13" s="9"/>
      <c r="D13" s="9"/>
      <c r="E13" s="9"/>
      <c r="F13" s="9"/>
      <c r="G13" s="9"/>
      <c r="H13" s="9" t="str">
        <f t="shared" si="0"/>
        <v>SIN REVISAR</v>
      </c>
    </row>
    <row r="14" spans="1:8" x14ac:dyDescent="0.35">
      <c r="A14" s="8" t="s">
        <v>29</v>
      </c>
      <c r="B14" s="9"/>
      <c r="C14" s="9"/>
      <c r="D14" s="9"/>
      <c r="E14" s="9"/>
      <c r="F14" s="9"/>
      <c r="G14" s="9"/>
      <c r="H14" s="9" t="str">
        <f t="shared" si="0"/>
        <v>SIN REVISAR</v>
      </c>
    </row>
    <row r="15" spans="1:8" x14ac:dyDescent="0.35">
      <c r="A15" s="8" t="s">
        <v>30</v>
      </c>
      <c r="B15" s="9"/>
      <c r="C15" s="9"/>
      <c r="D15" s="9"/>
      <c r="E15" s="9"/>
      <c r="F15" s="9"/>
      <c r="G15" s="9"/>
      <c r="H15" s="9" t="str">
        <f t="shared" si="0"/>
        <v>SIN REVISAR</v>
      </c>
    </row>
    <row r="16" spans="1:8" x14ac:dyDescent="0.35">
      <c r="A16" s="8" t="s">
        <v>31</v>
      </c>
      <c r="B16" s="9"/>
      <c r="C16" s="9"/>
      <c r="D16" s="9"/>
      <c r="E16" s="9"/>
      <c r="F16" s="9"/>
      <c r="G16" s="9"/>
      <c r="H16" s="9" t="str">
        <f t="shared" si="0"/>
        <v>SIN REVISAR</v>
      </c>
    </row>
    <row r="17" spans="1:8" x14ac:dyDescent="0.35">
      <c r="A17" s="8" t="s">
        <v>32</v>
      </c>
      <c r="B17" s="9"/>
      <c r="C17" s="9"/>
      <c r="D17" s="9"/>
      <c r="E17" s="9"/>
      <c r="F17" s="9"/>
      <c r="G17" s="9"/>
      <c r="H17" s="9" t="str">
        <f t="shared" si="0"/>
        <v>SIN REVISAR</v>
      </c>
    </row>
    <row r="18" spans="1:8" x14ac:dyDescent="0.35">
      <c r="A18" s="8" t="s">
        <v>33</v>
      </c>
      <c r="B18" s="9"/>
      <c r="C18" s="9"/>
      <c r="D18" s="9"/>
      <c r="E18" s="9"/>
      <c r="F18" s="9"/>
      <c r="G18" s="9" t="s">
        <v>34</v>
      </c>
      <c r="H18" s="9" t="str">
        <f t="shared" si="0"/>
        <v>SIN REVISAR</v>
      </c>
    </row>
    <row r="19" spans="1:8" x14ac:dyDescent="0.35">
      <c r="A19" s="8" t="s">
        <v>35</v>
      </c>
      <c r="B19" s="9"/>
      <c r="C19" s="9"/>
      <c r="D19" s="9"/>
      <c r="E19" s="9"/>
      <c r="F19" s="9"/>
      <c r="G19" s="9"/>
      <c r="H19" s="9" t="str">
        <f t="shared" si="0"/>
        <v>SIN REVISAR</v>
      </c>
    </row>
    <row r="20" spans="1:8" x14ac:dyDescent="0.35">
      <c r="A20" s="8" t="s">
        <v>36</v>
      </c>
      <c r="B20" s="9"/>
      <c r="C20" s="9"/>
      <c r="D20" s="9"/>
      <c r="E20" s="9"/>
      <c r="F20" s="9"/>
      <c r="G20" s="9"/>
      <c r="H20" s="9" t="str">
        <f t="shared" si="0"/>
        <v>SIN REVISAR</v>
      </c>
    </row>
    <row r="21" spans="1:8" x14ac:dyDescent="0.35">
      <c r="A21" s="8" t="s">
        <v>37</v>
      </c>
      <c r="B21" s="9"/>
      <c r="C21" s="9"/>
      <c r="D21" s="9"/>
      <c r="E21" s="9"/>
      <c r="F21" s="9"/>
      <c r="G21" s="9"/>
      <c r="H21" s="9" t="str">
        <f t="shared" si="0"/>
        <v>SIN REVISAR</v>
      </c>
    </row>
    <row r="22" spans="1:8" x14ac:dyDescent="0.35">
      <c r="A22" s="8" t="s">
        <v>38</v>
      </c>
      <c r="B22" s="9"/>
      <c r="C22" s="9"/>
      <c r="D22" s="9"/>
      <c r="E22" s="9"/>
      <c r="F22" s="9"/>
      <c r="G22" s="9"/>
      <c r="H22" s="9" t="str">
        <f t="shared" si="0"/>
        <v>SIN REVISAR</v>
      </c>
    </row>
    <row r="23" spans="1:8" x14ac:dyDescent="0.35">
      <c r="A23" s="8" t="s">
        <v>39</v>
      </c>
      <c r="B23" s="9"/>
      <c r="C23" s="9"/>
      <c r="D23" s="9"/>
      <c r="E23" s="9"/>
      <c r="F23" s="9"/>
      <c r="G23" s="9"/>
      <c r="H23" s="9" t="str">
        <f t="shared" si="0"/>
        <v>SIN REVISAR</v>
      </c>
    </row>
    <row r="24" spans="1:8" x14ac:dyDescent="0.35">
      <c r="A24" s="8" t="s">
        <v>40</v>
      </c>
      <c r="B24" s="9"/>
      <c r="C24" s="9"/>
      <c r="D24" s="9"/>
      <c r="E24" s="9"/>
      <c r="F24" s="9"/>
      <c r="G24" s="9"/>
      <c r="H24" s="9" t="str">
        <f t="shared" si="0"/>
        <v>SIN REVISAR</v>
      </c>
    </row>
    <row r="25" spans="1:8" x14ac:dyDescent="0.35">
      <c r="A25" s="8" t="s">
        <v>41</v>
      </c>
      <c r="B25" s="9"/>
      <c r="C25" s="9"/>
      <c r="D25" s="9"/>
      <c r="E25" s="9"/>
      <c r="F25" s="9"/>
      <c r="G25" s="9"/>
      <c r="H25" s="9" t="str">
        <f t="shared" si="0"/>
        <v>SIN REVISAR</v>
      </c>
    </row>
    <row r="26" spans="1:8" x14ac:dyDescent="0.35">
      <c r="A26" s="8" t="s">
        <v>42</v>
      </c>
      <c r="B26" s="9"/>
      <c r="C26" s="9"/>
      <c r="D26" s="9"/>
      <c r="E26" s="9"/>
      <c r="F26" s="9"/>
      <c r="G26" s="9"/>
      <c r="H26" s="9" t="str">
        <f t="shared" si="0"/>
        <v>SIN REVISAR</v>
      </c>
    </row>
    <row r="27" spans="1:8" x14ac:dyDescent="0.35">
      <c r="A27" s="8" t="s">
        <v>43</v>
      </c>
      <c r="B27" s="9"/>
      <c r="C27" s="9"/>
      <c r="D27" s="9"/>
      <c r="E27" s="9"/>
      <c r="F27" s="9"/>
      <c r="G27" s="9"/>
      <c r="H27" s="9" t="str">
        <f t="shared" si="0"/>
        <v>SIN REVISAR</v>
      </c>
    </row>
    <row r="28" spans="1:8" x14ac:dyDescent="0.35">
      <c r="A28" s="8" t="s">
        <v>44</v>
      </c>
      <c r="B28" s="9"/>
      <c r="C28" s="9"/>
      <c r="D28" s="9"/>
      <c r="E28" s="9"/>
      <c r="F28" s="9"/>
      <c r="G28" s="9"/>
      <c r="H28" s="9" t="str">
        <f t="shared" si="0"/>
        <v>SIN REVISAR</v>
      </c>
    </row>
    <row r="29" spans="1:8" x14ac:dyDescent="0.35">
      <c r="A29" s="8" t="s">
        <v>45</v>
      </c>
      <c r="B29" s="9"/>
      <c r="C29" s="9"/>
      <c r="D29" s="9"/>
      <c r="E29" s="9"/>
      <c r="F29" s="9"/>
      <c r="G29" s="9"/>
      <c r="H29" s="9" t="str">
        <f t="shared" si="0"/>
        <v>SIN REVISAR</v>
      </c>
    </row>
    <row r="30" spans="1:8" x14ac:dyDescent="0.35">
      <c r="A30" s="8" t="s">
        <v>46</v>
      </c>
      <c r="B30" s="9"/>
      <c r="C30" s="9"/>
      <c r="D30" s="9"/>
      <c r="E30" s="9"/>
      <c r="F30" s="9"/>
      <c r="G30" s="9"/>
      <c r="H30" s="9" t="str">
        <f t="shared" si="0"/>
        <v>SIN REVISAR</v>
      </c>
    </row>
    <row r="31" spans="1:8" x14ac:dyDescent="0.35">
      <c r="A31" s="8" t="s">
        <v>47</v>
      </c>
      <c r="B31" s="9"/>
      <c r="C31" s="9"/>
      <c r="D31" s="9"/>
      <c r="E31" s="9"/>
      <c r="F31" s="9"/>
      <c r="G31" s="9"/>
      <c r="H31" s="9" t="str">
        <f t="shared" si="0"/>
        <v>SIN REVISAR</v>
      </c>
    </row>
    <row r="32" spans="1:8" x14ac:dyDescent="0.35">
      <c r="A32" s="8" t="s">
        <v>48</v>
      </c>
      <c r="B32" s="9"/>
      <c r="C32" s="9"/>
      <c r="D32" s="9"/>
      <c r="E32" s="9"/>
      <c r="F32" s="9"/>
      <c r="G32" s="9"/>
      <c r="H32" s="9" t="str">
        <f t="shared" si="0"/>
        <v>SIN REVISAR</v>
      </c>
    </row>
    <row r="33" spans="1:8" x14ac:dyDescent="0.35">
      <c r="A33" s="8" t="s">
        <v>49</v>
      </c>
      <c r="B33" s="9"/>
      <c r="C33" s="9"/>
      <c r="D33" s="9"/>
      <c r="E33" s="9"/>
      <c r="F33" s="9"/>
      <c r="G33" s="9"/>
      <c r="H33" s="9" t="str">
        <f t="shared" si="0"/>
        <v>SIN REVISAR</v>
      </c>
    </row>
    <row r="34" spans="1:8" x14ac:dyDescent="0.35">
      <c r="A34" s="8" t="s">
        <v>50</v>
      </c>
      <c r="B34" s="9"/>
      <c r="C34" s="9"/>
      <c r="D34" s="9"/>
      <c r="E34" s="9"/>
      <c r="F34" s="9"/>
      <c r="G34" s="9"/>
      <c r="H34" s="9" t="str">
        <f t="shared" ref="H34:H65" si="1">IF(F34="Sí","FUERA DE SERVICIO",IF(AND(B34="Sí",C34="Sí",D34="Sí",E34="Sí"),"COMPLETO",IF(COUNTIF(B34:E34,"Sí")&gt;0,"EN PROCESO","SIN REVISAR")))</f>
        <v>SIN REVISAR</v>
      </c>
    </row>
    <row r="35" spans="1:8" x14ac:dyDescent="0.35">
      <c r="A35" s="8" t="s">
        <v>51</v>
      </c>
      <c r="B35" s="9"/>
      <c r="C35" s="9"/>
      <c r="D35" s="9"/>
      <c r="E35" s="9"/>
      <c r="F35" s="9"/>
      <c r="G35" s="9"/>
      <c r="H35" s="9" t="str">
        <f t="shared" si="1"/>
        <v>SIN REVISAR</v>
      </c>
    </row>
    <row r="36" spans="1:8" x14ac:dyDescent="0.35">
      <c r="A36" s="8" t="s">
        <v>52</v>
      </c>
      <c r="B36" s="9"/>
      <c r="C36" s="9"/>
      <c r="D36" s="9"/>
      <c r="E36" s="9"/>
      <c r="F36" s="9"/>
      <c r="G36" s="9"/>
      <c r="H36" s="9" t="str">
        <f t="shared" si="1"/>
        <v>SIN REVISAR</v>
      </c>
    </row>
    <row r="37" spans="1:8" x14ac:dyDescent="0.35">
      <c r="A37" s="8" t="s">
        <v>53</v>
      </c>
      <c r="B37" s="9"/>
      <c r="C37" s="9"/>
      <c r="D37" s="9"/>
      <c r="E37" s="9"/>
      <c r="F37" s="9"/>
      <c r="G37" s="9"/>
      <c r="H37" s="9" t="str">
        <f t="shared" si="1"/>
        <v>SIN REVISAR</v>
      </c>
    </row>
    <row r="38" spans="1:8" x14ac:dyDescent="0.35">
      <c r="A38" s="8" t="s">
        <v>54</v>
      </c>
      <c r="B38" s="9"/>
      <c r="C38" s="9"/>
      <c r="D38" s="9"/>
      <c r="E38" s="9"/>
      <c r="F38" s="9"/>
      <c r="G38" s="9"/>
      <c r="H38" s="9" t="str">
        <f t="shared" si="1"/>
        <v>SIN REVISAR</v>
      </c>
    </row>
    <row r="39" spans="1:8" x14ac:dyDescent="0.35">
      <c r="A39" s="8" t="s">
        <v>55</v>
      </c>
      <c r="B39" s="9"/>
      <c r="C39" s="9"/>
      <c r="D39" s="9"/>
      <c r="E39" s="9"/>
      <c r="F39" s="9"/>
      <c r="G39" s="9"/>
      <c r="H39" s="9" t="str">
        <f t="shared" si="1"/>
        <v>SIN REVISAR</v>
      </c>
    </row>
    <row r="40" spans="1:8" x14ac:dyDescent="0.35">
      <c r="A40" s="8" t="s">
        <v>56</v>
      </c>
      <c r="B40" s="9"/>
      <c r="C40" s="9"/>
      <c r="D40" s="9"/>
      <c r="E40" s="9"/>
      <c r="F40" s="9"/>
      <c r="G40" s="9"/>
      <c r="H40" s="9" t="str">
        <f t="shared" si="1"/>
        <v>SIN REVISAR</v>
      </c>
    </row>
    <row r="41" spans="1:8" x14ac:dyDescent="0.35">
      <c r="A41" s="8" t="s">
        <v>57</v>
      </c>
      <c r="B41" s="9"/>
      <c r="C41" s="9"/>
      <c r="D41" s="9"/>
      <c r="E41" s="9"/>
      <c r="F41" s="9"/>
      <c r="G41" s="9"/>
      <c r="H41" s="9" t="str">
        <f t="shared" si="1"/>
        <v>SIN REVISAR</v>
      </c>
    </row>
    <row r="42" spans="1:8" x14ac:dyDescent="0.35">
      <c r="A42" s="8" t="s">
        <v>58</v>
      </c>
      <c r="B42" s="9"/>
      <c r="C42" s="9"/>
      <c r="D42" s="9"/>
      <c r="E42" s="9"/>
      <c r="F42" s="9"/>
      <c r="G42" s="9" t="s">
        <v>59</v>
      </c>
      <c r="H42" s="9" t="str">
        <f t="shared" si="1"/>
        <v>SIN REVISAR</v>
      </c>
    </row>
    <row r="43" spans="1:8" x14ac:dyDescent="0.35">
      <c r="A43" s="8" t="s">
        <v>60</v>
      </c>
      <c r="B43" s="9"/>
      <c r="C43" s="9"/>
      <c r="D43" s="9"/>
      <c r="E43" s="9"/>
      <c r="F43" s="9"/>
      <c r="G43" s="9"/>
      <c r="H43" s="9" t="str">
        <f t="shared" si="1"/>
        <v>SIN REVISAR</v>
      </c>
    </row>
    <row r="44" spans="1:8" x14ac:dyDescent="0.35">
      <c r="A44" s="8" t="s">
        <v>61</v>
      </c>
      <c r="B44" s="9"/>
      <c r="C44" s="9"/>
      <c r="D44" s="9"/>
      <c r="E44" s="9"/>
      <c r="F44" s="9"/>
      <c r="G44" s="9"/>
      <c r="H44" s="9" t="str">
        <f t="shared" si="1"/>
        <v>SIN REVISAR</v>
      </c>
    </row>
    <row r="45" spans="1:8" x14ac:dyDescent="0.35">
      <c r="A45" s="8" t="s">
        <v>62</v>
      </c>
      <c r="B45" s="9"/>
      <c r="C45" s="9"/>
      <c r="D45" s="9"/>
      <c r="E45" s="9"/>
      <c r="F45" s="9"/>
      <c r="G45" s="9"/>
      <c r="H45" s="9" t="str">
        <f t="shared" si="1"/>
        <v>SIN REVISAR</v>
      </c>
    </row>
    <row r="46" spans="1:8" x14ac:dyDescent="0.35">
      <c r="A46" s="8" t="s">
        <v>63</v>
      </c>
      <c r="B46" s="9"/>
      <c r="C46" s="9"/>
      <c r="D46" s="9"/>
      <c r="E46" s="9"/>
      <c r="F46" s="9"/>
      <c r="G46" s="9"/>
      <c r="H46" s="9" t="str">
        <f t="shared" si="1"/>
        <v>SIN REVISAR</v>
      </c>
    </row>
    <row r="47" spans="1:8" x14ac:dyDescent="0.35">
      <c r="A47" s="8" t="s">
        <v>64</v>
      </c>
      <c r="B47" s="9"/>
      <c r="C47" s="9"/>
      <c r="D47" s="9"/>
      <c r="E47" s="9"/>
      <c r="F47" s="9"/>
      <c r="G47" s="9"/>
      <c r="H47" s="9" t="str">
        <f t="shared" si="1"/>
        <v>SIN REVISAR</v>
      </c>
    </row>
    <row r="48" spans="1:8" x14ac:dyDescent="0.35">
      <c r="A48" s="8" t="s">
        <v>65</v>
      </c>
      <c r="B48" s="9"/>
      <c r="C48" s="9"/>
      <c r="D48" s="9"/>
      <c r="E48" s="9"/>
      <c r="F48" s="9"/>
      <c r="G48" s="9"/>
      <c r="H48" s="9" t="str">
        <f t="shared" si="1"/>
        <v>SIN REVISAR</v>
      </c>
    </row>
    <row r="49" spans="1:8" x14ac:dyDescent="0.35">
      <c r="A49" s="8" t="s">
        <v>66</v>
      </c>
      <c r="B49" s="9"/>
      <c r="C49" s="9"/>
      <c r="D49" s="9"/>
      <c r="E49" s="9"/>
      <c r="F49" s="9"/>
      <c r="G49" s="9"/>
      <c r="H49" s="9" t="str">
        <f t="shared" si="1"/>
        <v>SIN REVISAR</v>
      </c>
    </row>
    <row r="50" spans="1:8" x14ac:dyDescent="0.35">
      <c r="A50" s="8" t="s">
        <v>67</v>
      </c>
      <c r="B50" s="9"/>
      <c r="C50" s="9"/>
      <c r="D50" s="9"/>
      <c r="E50" s="9"/>
      <c r="F50" s="9"/>
      <c r="G50" s="9"/>
      <c r="H50" s="9" t="str">
        <f t="shared" si="1"/>
        <v>SIN REVISAR</v>
      </c>
    </row>
    <row r="51" spans="1:8" x14ac:dyDescent="0.35">
      <c r="A51" s="8" t="s">
        <v>68</v>
      </c>
      <c r="B51" s="9"/>
      <c r="C51" s="9"/>
      <c r="D51" s="9"/>
      <c r="E51" s="9"/>
      <c r="F51" s="9"/>
      <c r="G51" s="9"/>
      <c r="H51" s="9" t="str">
        <f t="shared" si="1"/>
        <v>SIN REVISAR</v>
      </c>
    </row>
    <row r="52" spans="1:8" x14ac:dyDescent="0.35">
      <c r="A52" s="8" t="s">
        <v>69</v>
      </c>
      <c r="B52" s="9"/>
      <c r="C52" s="9"/>
      <c r="D52" s="9"/>
      <c r="E52" s="9"/>
      <c r="F52" s="9"/>
      <c r="G52" s="9" t="s">
        <v>70</v>
      </c>
      <c r="H52" s="9" t="str">
        <f t="shared" si="1"/>
        <v>SIN REVISAR</v>
      </c>
    </row>
    <row r="53" spans="1:8" x14ac:dyDescent="0.35">
      <c r="A53" s="8" t="s">
        <v>71</v>
      </c>
      <c r="B53" s="9"/>
      <c r="C53" s="9"/>
      <c r="D53" s="9"/>
      <c r="E53" s="9"/>
      <c r="F53" s="9"/>
      <c r="G53" s="9"/>
      <c r="H53" s="9" t="str">
        <f t="shared" si="1"/>
        <v>SIN REVISAR</v>
      </c>
    </row>
    <row r="54" spans="1:8" x14ac:dyDescent="0.35">
      <c r="A54" s="8" t="s">
        <v>72</v>
      </c>
      <c r="B54" s="9"/>
      <c r="C54" s="9"/>
      <c r="D54" s="9"/>
      <c r="E54" s="9"/>
      <c r="F54" s="9"/>
      <c r="G54" s="9"/>
      <c r="H54" s="9" t="str">
        <f t="shared" si="1"/>
        <v>SIN REVISAR</v>
      </c>
    </row>
    <row r="55" spans="1:8" x14ac:dyDescent="0.35">
      <c r="A55" s="8" t="s">
        <v>73</v>
      </c>
      <c r="B55" s="9"/>
      <c r="C55" s="9"/>
      <c r="D55" s="9"/>
      <c r="E55" s="9"/>
      <c r="F55" s="9"/>
      <c r="G55" s="9"/>
      <c r="H55" s="9" t="str">
        <f t="shared" si="1"/>
        <v>SIN REVISAR</v>
      </c>
    </row>
    <row r="56" spans="1:8" x14ac:dyDescent="0.35">
      <c r="A56" s="8" t="s">
        <v>74</v>
      </c>
      <c r="B56" s="9"/>
      <c r="C56" s="9"/>
      <c r="D56" s="9"/>
      <c r="E56" s="9"/>
      <c r="F56" s="9"/>
      <c r="G56" s="9"/>
      <c r="H56" s="9" t="str">
        <f t="shared" si="1"/>
        <v>SIN REVISAR</v>
      </c>
    </row>
    <row r="57" spans="1:8" x14ac:dyDescent="0.35">
      <c r="A57" s="8" t="s">
        <v>75</v>
      </c>
      <c r="B57" s="9"/>
      <c r="C57" s="9"/>
      <c r="D57" s="9"/>
      <c r="E57" s="9"/>
      <c r="F57" s="9"/>
      <c r="G57" s="9"/>
      <c r="H57" s="9" t="str">
        <f t="shared" si="1"/>
        <v>SIN REVISAR</v>
      </c>
    </row>
    <row r="58" spans="1:8" x14ac:dyDescent="0.35">
      <c r="A58" s="8" t="s">
        <v>76</v>
      </c>
      <c r="B58" s="9"/>
      <c r="C58" s="9"/>
      <c r="D58" s="9"/>
      <c r="E58" s="9"/>
      <c r="F58" s="9"/>
      <c r="G58" s="9"/>
      <c r="H58" s="9" t="str">
        <f t="shared" si="1"/>
        <v>SIN REVISAR</v>
      </c>
    </row>
    <row r="59" spans="1:8" x14ac:dyDescent="0.35">
      <c r="A59" s="8" t="s">
        <v>77</v>
      </c>
      <c r="B59" s="9"/>
      <c r="C59" s="9"/>
      <c r="D59" s="9"/>
      <c r="E59" s="9"/>
      <c r="F59" s="9"/>
      <c r="G59" s="9"/>
      <c r="H59" s="9" t="str">
        <f t="shared" si="1"/>
        <v>SIN REVISAR</v>
      </c>
    </row>
    <row r="60" spans="1:8" x14ac:dyDescent="0.35">
      <c r="A60" s="8" t="s">
        <v>78</v>
      </c>
      <c r="B60" s="9"/>
      <c r="C60" s="9"/>
      <c r="D60" s="9"/>
      <c r="E60" s="9"/>
      <c r="F60" s="9"/>
      <c r="G60" s="9"/>
      <c r="H60" s="9" t="str">
        <f t="shared" si="1"/>
        <v>SIN REVISAR</v>
      </c>
    </row>
    <row r="61" spans="1:8" x14ac:dyDescent="0.35">
      <c r="A61" s="8" t="s">
        <v>79</v>
      </c>
      <c r="B61" s="9"/>
      <c r="C61" s="9"/>
      <c r="D61" s="9"/>
      <c r="E61" s="9"/>
      <c r="F61" s="9"/>
      <c r="G61" s="9"/>
      <c r="H61" s="9" t="str">
        <f t="shared" si="1"/>
        <v>SIN REVISAR</v>
      </c>
    </row>
    <row r="62" spans="1:8" x14ac:dyDescent="0.35">
      <c r="A62" s="8" t="s">
        <v>80</v>
      </c>
      <c r="B62" s="9"/>
      <c r="C62" s="9"/>
      <c r="D62" s="9"/>
      <c r="E62" s="9"/>
      <c r="F62" s="9"/>
      <c r="G62" s="9"/>
      <c r="H62" s="9" t="str">
        <f t="shared" si="1"/>
        <v>SIN REVISAR</v>
      </c>
    </row>
    <row r="63" spans="1:8" x14ac:dyDescent="0.35">
      <c r="A63" s="8" t="s">
        <v>81</v>
      </c>
      <c r="B63" s="9"/>
      <c r="C63" s="9"/>
      <c r="D63" s="9"/>
      <c r="E63" s="9"/>
      <c r="F63" s="9"/>
      <c r="G63" s="9"/>
      <c r="H63" s="9" t="str">
        <f t="shared" si="1"/>
        <v>SIN REVISAR</v>
      </c>
    </row>
    <row r="64" spans="1:8" x14ac:dyDescent="0.35">
      <c r="A64" s="8" t="s">
        <v>82</v>
      </c>
      <c r="B64" s="9"/>
      <c r="C64" s="9"/>
      <c r="D64" s="9"/>
      <c r="E64" s="9"/>
      <c r="F64" s="9"/>
      <c r="G64" s="9" t="s">
        <v>83</v>
      </c>
      <c r="H64" s="9" t="str">
        <f t="shared" si="1"/>
        <v>SIN REVISAR</v>
      </c>
    </row>
    <row r="65" spans="1:8" x14ac:dyDescent="0.35">
      <c r="A65" s="8" t="s">
        <v>84</v>
      </c>
      <c r="B65" s="9"/>
      <c r="C65" s="9"/>
      <c r="D65" s="9"/>
      <c r="E65" s="9"/>
      <c r="F65" s="9"/>
      <c r="G65" s="9"/>
      <c r="H65" s="9" t="str">
        <f t="shared" si="1"/>
        <v>SIN REVISAR</v>
      </c>
    </row>
    <row r="66" spans="1:8" x14ac:dyDescent="0.35">
      <c r="A66" s="8" t="s">
        <v>85</v>
      </c>
      <c r="B66" s="9"/>
      <c r="C66" s="9"/>
      <c r="D66" s="9"/>
      <c r="E66" s="9"/>
      <c r="F66" s="9"/>
      <c r="G66" s="9"/>
      <c r="H66" s="9" t="str">
        <f t="shared" ref="H66:H97" si="2">IF(F66="Sí","FUERA DE SERVICIO",IF(AND(B66="Sí",C66="Sí",D66="Sí",E66="Sí"),"COMPLETO",IF(COUNTIF(B66:E66,"Sí")&gt;0,"EN PROCESO","SIN REVISAR")))</f>
        <v>SIN REVISAR</v>
      </c>
    </row>
    <row r="67" spans="1:8" x14ac:dyDescent="0.35">
      <c r="A67" s="8" t="s">
        <v>86</v>
      </c>
      <c r="B67" s="9"/>
      <c r="C67" s="9"/>
      <c r="D67" s="9"/>
      <c r="E67" s="9"/>
      <c r="F67" s="9"/>
      <c r="G67" s="9"/>
      <c r="H67" s="9" t="str">
        <f t="shared" si="2"/>
        <v>SIN REVISAR</v>
      </c>
    </row>
    <row r="68" spans="1:8" x14ac:dyDescent="0.35">
      <c r="A68" s="8" t="s">
        <v>87</v>
      </c>
      <c r="B68" s="9"/>
      <c r="C68" s="9"/>
      <c r="D68" s="9"/>
      <c r="E68" s="9"/>
      <c r="F68" s="9"/>
      <c r="G68" s="9"/>
      <c r="H68" s="9" t="str">
        <f t="shared" si="2"/>
        <v>SIN REVISAR</v>
      </c>
    </row>
    <row r="69" spans="1:8" x14ac:dyDescent="0.35">
      <c r="A69" s="8" t="s">
        <v>88</v>
      </c>
      <c r="B69" s="9"/>
      <c r="C69" s="9"/>
      <c r="D69" s="9"/>
      <c r="E69" s="9"/>
      <c r="F69" s="9"/>
      <c r="G69" s="9"/>
      <c r="H69" s="9" t="str">
        <f t="shared" si="2"/>
        <v>SIN REVISAR</v>
      </c>
    </row>
    <row r="70" spans="1:8" x14ac:dyDescent="0.35">
      <c r="A70" s="8" t="s">
        <v>89</v>
      </c>
      <c r="B70" s="9"/>
      <c r="C70" s="9"/>
      <c r="D70" s="9"/>
      <c r="E70" s="9"/>
      <c r="F70" s="9"/>
      <c r="G70" s="9"/>
      <c r="H70" s="9" t="str">
        <f t="shared" si="2"/>
        <v>SIN REVISAR</v>
      </c>
    </row>
    <row r="71" spans="1:8" x14ac:dyDescent="0.35">
      <c r="A71" s="8" t="s">
        <v>90</v>
      </c>
      <c r="B71" s="9"/>
      <c r="C71" s="9"/>
      <c r="D71" s="9"/>
      <c r="E71" s="9"/>
      <c r="F71" s="9"/>
      <c r="G71" s="9"/>
      <c r="H71" s="9" t="str">
        <f t="shared" si="2"/>
        <v>SIN REVISAR</v>
      </c>
    </row>
    <row r="72" spans="1:8" x14ac:dyDescent="0.35">
      <c r="A72" s="8" t="s">
        <v>91</v>
      </c>
      <c r="B72" s="9"/>
      <c r="C72" s="9"/>
      <c r="D72" s="9"/>
      <c r="E72" s="9"/>
      <c r="F72" s="9"/>
      <c r="G72" s="9"/>
      <c r="H72" s="9" t="str">
        <f t="shared" si="2"/>
        <v>SIN REVISAR</v>
      </c>
    </row>
    <row r="73" spans="1:8" x14ac:dyDescent="0.35">
      <c r="A73" s="8" t="s">
        <v>92</v>
      </c>
      <c r="B73" s="9"/>
      <c r="C73" s="9"/>
      <c r="D73" s="9"/>
      <c r="E73" s="9"/>
      <c r="F73" s="9"/>
      <c r="G73" s="9"/>
      <c r="H73" s="9" t="str">
        <f t="shared" si="2"/>
        <v>SIN REVISAR</v>
      </c>
    </row>
    <row r="74" spans="1:8" x14ac:dyDescent="0.35">
      <c r="A74" s="8" t="s">
        <v>93</v>
      </c>
      <c r="B74" s="9"/>
      <c r="C74" s="9"/>
      <c r="D74" s="9"/>
      <c r="E74" s="9"/>
      <c r="F74" s="9"/>
      <c r="G74" s="9"/>
      <c r="H74" s="9" t="str">
        <f t="shared" si="2"/>
        <v>SIN REVISAR</v>
      </c>
    </row>
    <row r="75" spans="1:8" x14ac:dyDescent="0.35">
      <c r="A75" s="8" t="s">
        <v>94</v>
      </c>
      <c r="B75" s="9"/>
      <c r="C75" s="9"/>
      <c r="D75" s="9"/>
      <c r="E75" s="9"/>
      <c r="F75" s="9"/>
      <c r="G75" s="9"/>
      <c r="H75" s="9" t="str">
        <f t="shared" si="2"/>
        <v>SIN REVISAR</v>
      </c>
    </row>
    <row r="76" spans="1:8" x14ac:dyDescent="0.35">
      <c r="A76" s="8" t="s">
        <v>95</v>
      </c>
      <c r="B76" s="9"/>
      <c r="C76" s="9"/>
      <c r="D76" s="9"/>
      <c r="E76" s="9"/>
      <c r="F76" s="9"/>
      <c r="G76" s="9"/>
      <c r="H76" s="9" t="str">
        <f t="shared" si="2"/>
        <v>SIN REVISAR</v>
      </c>
    </row>
    <row r="77" spans="1:8" x14ac:dyDescent="0.35">
      <c r="A77" s="8" t="s">
        <v>96</v>
      </c>
      <c r="B77" s="9"/>
      <c r="C77" s="9"/>
      <c r="D77" s="9"/>
      <c r="E77" s="9"/>
      <c r="F77" s="9"/>
      <c r="G77" s="9"/>
      <c r="H77" s="9" t="str">
        <f t="shared" si="2"/>
        <v>SIN REVISAR</v>
      </c>
    </row>
    <row r="78" spans="1:8" x14ac:dyDescent="0.35">
      <c r="A78" s="8" t="s">
        <v>97</v>
      </c>
      <c r="B78" s="9"/>
      <c r="C78" s="9"/>
      <c r="D78" s="9"/>
      <c r="E78" s="9"/>
      <c r="F78" s="9"/>
      <c r="G78" s="9"/>
      <c r="H78" s="9" t="str">
        <f t="shared" si="2"/>
        <v>SIN REVISAR</v>
      </c>
    </row>
    <row r="79" spans="1:8" x14ac:dyDescent="0.35">
      <c r="A79" s="8" t="s">
        <v>98</v>
      </c>
      <c r="B79" s="9"/>
      <c r="C79" s="9"/>
      <c r="D79" s="9"/>
      <c r="E79" s="9"/>
      <c r="F79" s="9"/>
      <c r="G79" s="9"/>
      <c r="H79" s="9" t="str">
        <f t="shared" si="2"/>
        <v>SIN REVISAR</v>
      </c>
    </row>
    <row r="80" spans="1:8" x14ac:dyDescent="0.35">
      <c r="A80" s="8" t="s">
        <v>99</v>
      </c>
      <c r="B80" s="9"/>
      <c r="C80" s="9"/>
      <c r="D80" s="9"/>
      <c r="E80" s="9"/>
      <c r="F80" s="9"/>
      <c r="G80" s="9" t="s">
        <v>100</v>
      </c>
      <c r="H80" s="9" t="str">
        <f t="shared" si="2"/>
        <v>SIN REVISAR</v>
      </c>
    </row>
    <row r="81" spans="1:8" x14ac:dyDescent="0.35">
      <c r="A81" s="8" t="s">
        <v>101</v>
      </c>
      <c r="B81" s="9"/>
      <c r="C81" s="9"/>
      <c r="D81" s="9"/>
      <c r="E81" s="9"/>
      <c r="F81" s="9"/>
      <c r="G81" s="9"/>
      <c r="H81" s="9" t="str">
        <f t="shared" si="2"/>
        <v>SIN REVISAR</v>
      </c>
    </row>
    <row r="82" spans="1:8" x14ac:dyDescent="0.35">
      <c r="A82" s="8" t="s">
        <v>102</v>
      </c>
      <c r="B82" s="9"/>
      <c r="C82" s="9"/>
      <c r="D82" s="9"/>
      <c r="E82" s="9"/>
      <c r="F82" s="9"/>
      <c r="G82" s="9"/>
      <c r="H82" s="9" t="str">
        <f t="shared" si="2"/>
        <v>SIN REVISAR</v>
      </c>
    </row>
    <row r="83" spans="1:8" x14ac:dyDescent="0.35">
      <c r="A83" s="8" t="s">
        <v>103</v>
      </c>
      <c r="B83" s="9"/>
      <c r="C83" s="9"/>
      <c r="D83" s="9"/>
      <c r="E83" s="9"/>
      <c r="F83" s="9"/>
      <c r="G83" s="9"/>
      <c r="H83" s="9" t="str">
        <f t="shared" si="2"/>
        <v>SIN REVISAR</v>
      </c>
    </row>
    <row r="84" spans="1:8" x14ac:dyDescent="0.35">
      <c r="A84" s="8" t="s">
        <v>104</v>
      </c>
      <c r="B84" s="9"/>
      <c r="C84" s="9"/>
      <c r="D84" s="9"/>
      <c r="E84" s="9"/>
      <c r="F84" s="9"/>
      <c r="G84" s="9"/>
      <c r="H84" s="9" t="str">
        <f t="shared" si="2"/>
        <v>SIN REVISAR</v>
      </c>
    </row>
    <row r="85" spans="1:8" x14ac:dyDescent="0.35">
      <c r="A85" s="8" t="s">
        <v>105</v>
      </c>
      <c r="B85" s="9"/>
      <c r="C85" s="9"/>
      <c r="D85" s="9"/>
      <c r="E85" s="9"/>
      <c r="F85" s="9"/>
      <c r="G85" s="9"/>
      <c r="H85" s="9" t="str">
        <f t="shared" si="2"/>
        <v>SIN REVISAR</v>
      </c>
    </row>
    <row r="86" spans="1:8" x14ac:dyDescent="0.35">
      <c r="A86" s="8" t="s">
        <v>106</v>
      </c>
      <c r="B86" s="9"/>
      <c r="C86" s="9"/>
      <c r="D86" s="9"/>
      <c r="E86" s="9"/>
      <c r="F86" s="9"/>
      <c r="G86" s="9"/>
      <c r="H86" s="9" t="str">
        <f t="shared" si="2"/>
        <v>SIN REVISAR</v>
      </c>
    </row>
    <row r="87" spans="1:8" x14ac:dyDescent="0.35">
      <c r="A87" s="8" t="s">
        <v>107</v>
      </c>
      <c r="B87" s="9"/>
      <c r="C87" s="9"/>
      <c r="D87" s="9"/>
      <c r="E87" s="9"/>
      <c r="F87" s="9"/>
      <c r="G87" s="9"/>
      <c r="H87" s="9" t="str">
        <f t="shared" si="2"/>
        <v>SIN REVISAR</v>
      </c>
    </row>
    <row r="88" spans="1:8" x14ac:dyDescent="0.35">
      <c r="A88" s="8" t="s">
        <v>108</v>
      </c>
      <c r="B88" s="9"/>
      <c r="C88" s="9"/>
      <c r="D88" s="9"/>
      <c r="E88" s="9"/>
      <c r="F88" s="9"/>
      <c r="G88" s="9"/>
      <c r="H88" s="9" t="str">
        <f t="shared" si="2"/>
        <v>SIN REVISAR</v>
      </c>
    </row>
    <row r="89" spans="1:8" x14ac:dyDescent="0.35">
      <c r="A89" s="8" t="s">
        <v>109</v>
      </c>
      <c r="B89" s="9"/>
      <c r="C89" s="9"/>
      <c r="D89" s="9"/>
      <c r="E89" s="9"/>
      <c r="F89" s="9"/>
      <c r="G89" s="9"/>
      <c r="H89" s="9" t="str">
        <f t="shared" si="2"/>
        <v>SIN REVISAR</v>
      </c>
    </row>
    <row r="90" spans="1:8" x14ac:dyDescent="0.35">
      <c r="A90" s="8" t="s">
        <v>110</v>
      </c>
      <c r="B90" s="9"/>
      <c r="C90" s="9"/>
      <c r="D90" s="9"/>
      <c r="E90" s="9"/>
      <c r="F90" s="9"/>
      <c r="G90" s="9"/>
      <c r="H90" s="9" t="str">
        <f t="shared" si="2"/>
        <v>SIN REVISAR</v>
      </c>
    </row>
    <row r="91" spans="1:8" x14ac:dyDescent="0.35">
      <c r="A91" s="8" t="s">
        <v>111</v>
      </c>
      <c r="B91" s="9"/>
      <c r="C91" s="9"/>
      <c r="D91" s="9"/>
      <c r="E91" s="9"/>
      <c r="F91" s="9"/>
      <c r="G91" s="9"/>
      <c r="H91" s="9" t="str">
        <f t="shared" si="2"/>
        <v>SIN REVISAR</v>
      </c>
    </row>
    <row r="92" spans="1:8" x14ac:dyDescent="0.35">
      <c r="A92" s="8" t="s">
        <v>112</v>
      </c>
      <c r="B92" s="9"/>
      <c r="C92" s="9"/>
      <c r="D92" s="9"/>
      <c r="E92" s="9"/>
      <c r="F92" s="9"/>
      <c r="G92" s="9"/>
      <c r="H92" s="9" t="str">
        <f t="shared" si="2"/>
        <v>SIN REVISAR</v>
      </c>
    </row>
    <row r="93" spans="1:8" x14ac:dyDescent="0.35">
      <c r="A93" s="8" t="s">
        <v>113</v>
      </c>
      <c r="B93" s="9"/>
      <c r="C93" s="9"/>
      <c r="D93" s="9"/>
      <c r="E93" s="9"/>
      <c r="F93" s="9"/>
      <c r="G93" s="9"/>
      <c r="H93" s="9" t="str">
        <f t="shared" si="2"/>
        <v>SIN REVISAR</v>
      </c>
    </row>
    <row r="94" spans="1:8" x14ac:dyDescent="0.35">
      <c r="A94" s="8" t="s">
        <v>114</v>
      </c>
      <c r="B94" s="9"/>
      <c r="C94" s="9"/>
      <c r="D94" s="9"/>
      <c r="E94" s="9"/>
      <c r="F94" s="9"/>
      <c r="G94" s="9"/>
      <c r="H94" s="9" t="str">
        <f t="shared" si="2"/>
        <v>SIN REVISAR</v>
      </c>
    </row>
    <row r="95" spans="1:8" x14ac:dyDescent="0.35">
      <c r="A95" s="8" t="s">
        <v>115</v>
      </c>
      <c r="B95" s="9"/>
      <c r="C95" s="9"/>
      <c r="D95" s="9"/>
      <c r="E95" s="9"/>
      <c r="F95" s="9"/>
      <c r="G95" s="9"/>
      <c r="H95" s="9" t="str">
        <f t="shared" si="2"/>
        <v>SIN REVISAR</v>
      </c>
    </row>
    <row r="96" spans="1:8" x14ac:dyDescent="0.35">
      <c r="A96" s="8" t="s">
        <v>116</v>
      </c>
      <c r="B96" s="9"/>
      <c r="C96" s="9"/>
      <c r="D96" s="9"/>
      <c r="E96" s="9"/>
      <c r="F96" s="9"/>
      <c r="G96" s="9"/>
      <c r="H96" s="9" t="str">
        <f t="shared" si="2"/>
        <v>SIN REVISAR</v>
      </c>
    </row>
    <row r="97" spans="1:8" x14ac:dyDescent="0.35">
      <c r="A97" s="8" t="s">
        <v>117</v>
      </c>
      <c r="B97" s="9"/>
      <c r="C97" s="9"/>
      <c r="D97" s="9"/>
      <c r="E97" s="9"/>
      <c r="F97" s="9"/>
      <c r="G97" s="9"/>
      <c r="H97" s="9" t="str">
        <f t="shared" si="2"/>
        <v>SIN REVISAR</v>
      </c>
    </row>
    <row r="98" spans="1:8" x14ac:dyDescent="0.35">
      <c r="A98" s="8" t="s">
        <v>118</v>
      </c>
      <c r="B98" s="9"/>
      <c r="C98" s="9"/>
      <c r="D98" s="9"/>
      <c r="E98" s="9"/>
      <c r="F98" s="9"/>
      <c r="G98" s="9"/>
      <c r="H98" s="9" t="str">
        <f t="shared" ref="H98:H122" si="3">IF(F98="Sí","FUERA DE SERVICIO",IF(AND(B98="Sí",C98="Sí",D98="Sí",E98="Sí"),"COMPLETO",IF(COUNTIF(B98:E98,"Sí")&gt;0,"EN PROCESO","SIN REVISAR")))</f>
        <v>SIN REVISAR</v>
      </c>
    </row>
    <row r="99" spans="1:8" x14ac:dyDescent="0.35">
      <c r="A99" s="8" t="s">
        <v>119</v>
      </c>
      <c r="B99" s="9"/>
      <c r="C99" s="9"/>
      <c r="D99" s="9"/>
      <c r="E99" s="9"/>
      <c r="F99" s="9"/>
      <c r="G99" s="9"/>
      <c r="H99" s="9" t="str">
        <f t="shared" si="3"/>
        <v>SIN REVISAR</v>
      </c>
    </row>
    <row r="100" spans="1:8" x14ac:dyDescent="0.35">
      <c r="A100" s="8" t="s">
        <v>120</v>
      </c>
      <c r="B100" s="9"/>
      <c r="C100" s="9"/>
      <c r="D100" s="9"/>
      <c r="E100" s="9"/>
      <c r="F100" s="9"/>
      <c r="G100" s="9"/>
      <c r="H100" s="9" t="str">
        <f t="shared" si="3"/>
        <v>SIN REVISAR</v>
      </c>
    </row>
    <row r="101" spans="1:8" x14ac:dyDescent="0.35">
      <c r="A101" s="8" t="s">
        <v>121</v>
      </c>
      <c r="B101" s="9"/>
      <c r="C101" s="9"/>
      <c r="D101" s="9"/>
      <c r="E101" s="9"/>
      <c r="F101" s="9"/>
      <c r="G101" s="9"/>
      <c r="H101" s="9" t="str">
        <f t="shared" si="3"/>
        <v>SIN REVISAR</v>
      </c>
    </row>
    <row r="102" spans="1:8" x14ac:dyDescent="0.35">
      <c r="A102" s="8" t="s">
        <v>122</v>
      </c>
      <c r="B102" s="9"/>
      <c r="C102" s="9"/>
      <c r="D102" s="9"/>
      <c r="E102" s="9"/>
      <c r="F102" s="9"/>
      <c r="G102" s="9"/>
      <c r="H102" s="9" t="str">
        <f t="shared" si="3"/>
        <v>SIN REVISAR</v>
      </c>
    </row>
    <row r="103" spans="1:8" x14ac:dyDescent="0.35">
      <c r="A103" s="8" t="s">
        <v>123</v>
      </c>
      <c r="B103" s="9"/>
      <c r="C103" s="9"/>
      <c r="D103" s="9"/>
      <c r="E103" s="9"/>
      <c r="F103" s="9"/>
      <c r="G103" s="9"/>
      <c r="H103" s="9" t="str">
        <f t="shared" si="3"/>
        <v>SIN REVISAR</v>
      </c>
    </row>
    <row r="104" spans="1:8" x14ac:dyDescent="0.35">
      <c r="A104" s="8" t="s">
        <v>124</v>
      </c>
      <c r="B104" s="9"/>
      <c r="C104" s="9"/>
      <c r="D104" s="9"/>
      <c r="E104" s="9"/>
      <c r="F104" s="9"/>
      <c r="G104" s="9"/>
      <c r="H104" s="9" t="str">
        <f t="shared" si="3"/>
        <v>SIN REVISAR</v>
      </c>
    </row>
    <row r="105" spans="1:8" x14ac:dyDescent="0.35">
      <c r="A105" s="8" t="s">
        <v>125</v>
      </c>
      <c r="B105" s="9"/>
      <c r="C105" s="9"/>
      <c r="D105" s="9"/>
      <c r="E105" s="9"/>
      <c r="F105" s="9"/>
      <c r="G105" s="9"/>
      <c r="H105" s="9" t="str">
        <f t="shared" si="3"/>
        <v>SIN REVISAR</v>
      </c>
    </row>
    <row r="106" spans="1:8" x14ac:dyDescent="0.35">
      <c r="A106" s="8" t="s">
        <v>126</v>
      </c>
      <c r="B106" s="9"/>
      <c r="C106" s="9"/>
      <c r="D106" s="9"/>
      <c r="E106" s="9"/>
      <c r="F106" s="9"/>
      <c r="G106" s="9"/>
      <c r="H106" s="9" t="str">
        <f t="shared" si="3"/>
        <v>SIN REVISAR</v>
      </c>
    </row>
    <row r="107" spans="1:8" x14ac:dyDescent="0.35">
      <c r="A107" s="8" t="s">
        <v>127</v>
      </c>
      <c r="B107" s="9"/>
      <c r="C107" s="9"/>
      <c r="D107" s="9"/>
      <c r="E107" s="9"/>
      <c r="F107" s="9"/>
      <c r="G107" s="9"/>
      <c r="H107" s="9" t="str">
        <f t="shared" si="3"/>
        <v>SIN REVISAR</v>
      </c>
    </row>
    <row r="108" spans="1:8" x14ac:dyDescent="0.35">
      <c r="A108" s="8" t="s">
        <v>128</v>
      </c>
      <c r="B108" s="9"/>
      <c r="C108" s="9"/>
      <c r="D108" s="9"/>
      <c r="E108" s="9"/>
      <c r="F108" s="9"/>
      <c r="G108" s="9"/>
      <c r="H108" s="9" t="str">
        <f t="shared" si="3"/>
        <v>SIN REVISAR</v>
      </c>
    </row>
    <row r="109" spans="1:8" x14ac:dyDescent="0.35">
      <c r="A109" s="8" t="s">
        <v>129</v>
      </c>
      <c r="B109" s="9"/>
      <c r="C109" s="9"/>
      <c r="D109" s="9"/>
      <c r="E109" s="9"/>
      <c r="F109" s="9"/>
      <c r="G109" s="9"/>
      <c r="H109" s="9" t="str">
        <f t="shared" si="3"/>
        <v>SIN REVISAR</v>
      </c>
    </row>
    <row r="110" spans="1:8" x14ac:dyDescent="0.35">
      <c r="A110" s="8" t="s">
        <v>130</v>
      </c>
      <c r="B110" s="9"/>
      <c r="C110" s="9"/>
      <c r="D110" s="9"/>
      <c r="E110" s="9"/>
      <c r="F110" s="9"/>
      <c r="G110" s="9"/>
      <c r="H110" s="9" t="str">
        <f t="shared" si="3"/>
        <v>SIN REVISAR</v>
      </c>
    </row>
    <row r="111" spans="1:8" x14ac:dyDescent="0.35">
      <c r="A111" s="8" t="s">
        <v>131</v>
      </c>
      <c r="B111" s="9"/>
      <c r="C111" s="9"/>
      <c r="D111" s="9"/>
      <c r="E111" s="9"/>
      <c r="F111" s="9"/>
      <c r="G111" s="9"/>
      <c r="H111" s="9" t="str">
        <f t="shared" si="3"/>
        <v>SIN REVISAR</v>
      </c>
    </row>
    <row r="112" spans="1:8" x14ac:dyDescent="0.35">
      <c r="A112" s="8" t="s">
        <v>132</v>
      </c>
      <c r="B112" s="9"/>
      <c r="C112" s="9"/>
      <c r="D112" s="9"/>
      <c r="E112" s="9"/>
      <c r="F112" s="9"/>
      <c r="G112" s="9"/>
      <c r="H112" s="9" t="str">
        <f t="shared" si="3"/>
        <v>SIN REVISAR</v>
      </c>
    </row>
    <row r="113" spans="1:8" x14ac:dyDescent="0.35">
      <c r="A113" s="8" t="s">
        <v>133</v>
      </c>
      <c r="B113" s="9"/>
      <c r="C113" s="9"/>
      <c r="D113" s="9"/>
      <c r="E113" s="9"/>
      <c r="F113" s="9"/>
      <c r="G113" s="9"/>
      <c r="H113" s="9" t="str">
        <f t="shared" si="3"/>
        <v>SIN REVISAR</v>
      </c>
    </row>
    <row r="114" spans="1:8" x14ac:dyDescent="0.35">
      <c r="A114" s="8" t="s">
        <v>134</v>
      </c>
      <c r="B114" s="9"/>
      <c r="C114" s="9"/>
      <c r="D114" s="9"/>
      <c r="E114" s="9"/>
      <c r="F114" s="9"/>
      <c r="G114" s="9"/>
      <c r="H114" s="9" t="str">
        <f t="shared" si="3"/>
        <v>SIN REVISAR</v>
      </c>
    </row>
    <row r="115" spans="1:8" x14ac:dyDescent="0.35">
      <c r="A115" s="8" t="s">
        <v>135</v>
      </c>
      <c r="B115" s="9"/>
      <c r="C115" s="9"/>
      <c r="D115" s="9"/>
      <c r="E115" s="9"/>
      <c r="F115" s="9"/>
      <c r="G115" s="9"/>
      <c r="H115" s="9" t="str">
        <f t="shared" si="3"/>
        <v>SIN REVISAR</v>
      </c>
    </row>
    <row r="116" spans="1:8" x14ac:dyDescent="0.35">
      <c r="A116" s="8" t="s">
        <v>136</v>
      </c>
      <c r="B116" s="9"/>
      <c r="C116" s="9"/>
      <c r="D116" s="9"/>
      <c r="E116" s="9"/>
      <c r="F116" s="9"/>
      <c r="G116" s="9"/>
      <c r="H116" s="9" t="str">
        <f t="shared" si="3"/>
        <v>SIN REVISAR</v>
      </c>
    </row>
    <row r="117" spans="1:8" x14ac:dyDescent="0.35">
      <c r="A117" s="8" t="s">
        <v>137</v>
      </c>
      <c r="B117" s="9"/>
      <c r="C117" s="9"/>
      <c r="D117" s="9"/>
      <c r="E117" s="9"/>
      <c r="F117" s="9"/>
      <c r="G117" s="9"/>
      <c r="H117" s="9" t="str">
        <f t="shared" si="3"/>
        <v>SIN REVISAR</v>
      </c>
    </row>
    <row r="118" spans="1:8" x14ac:dyDescent="0.35">
      <c r="A118" s="8" t="s">
        <v>138</v>
      </c>
      <c r="B118" s="9"/>
      <c r="C118" s="9"/>
      <c r="D118" s="9"/>
      <c r="E118" s="9"/>
      <c r="F118" s="9"/>
      <c r="G118" s="9"/>
      <c r="H118" s="9" t="str">
        <f t="shared" si="3"/>
        <v>SIN REVISAR</v>
      </c>
    </row>
    <row r="119" spans="1:8" x14ac:dyDescent="0.35">
      <c r="A119" s="8" t="s">
        <v>139</v>
      </c>
      <c r="B119" s="9"/>
      <c r="C119" s="9"/>
      <c r="D119" s="9"/>
      <c r="E119" s="9"/>
      <c r="F119" s="9"/>
      <c r="G119" s="9"/>
      <c r="H119" s="9" t="str">
        <f t="shared" si="3"/>
        <v>SIN REVISAR</v>
      </c>
    </row>
    <row r="120" spans="1:8" x14ac:dyDescent="0.35">
      <c r="A120" s="8" t="s">
        <v>140</v>
      </c>
      <c r="B120" s="9"/>
      <c r="C120" s="9"/>
      <c r="D120" s="9"/>
      <c r="E120" s="9"/>
      <c r="F120" s="9"/>
      <c r="G120" s="9"/>
      <c r="H120" s="9" t="str">
        <f t="shared" si="3"/>
        <v>SIN REVISAR</v>
      </c>
    </row>
    <row r="121" spans="1:8" x14ac:dyDescent="0.35">
      <c r="A121" s="8" t="s">
        <v>141</v>
      </c>
      <c r="B121" s="9"/>
      <c r="C121" s="9"/>
      <c r="D121" s="9"/>
      <c r="E121" s="9"/>
      <c r="F121" s="9"/>
      <c r="G121" s="9"/>
      <c r="H121" s="9" t="str">
        <f t="shared" si="3"/>
        <v>SIN REVISAR</v>
      </c>
    </row>
    <row r="122" spans="1:8" x14ac:dyDescent="0.35">
      <c r="A122" s="8" t="s">
        <v>142</v>
      </c>
      <c r="B122" s="9"/>
      <c r="C122" s="9"/>
      <c r="D122" s="9"/>
      <c r="E122" s="9"/>
      <c r="F122" s="9"/>
      <c r="G122" s="9"/>
      <c r="H122" s="9" t="str">
        <f t="shared" si="3"/>
        <v>SIN REVISAR</v>
      </c>
    </row>
  </sheetData>
  <dataValidations count="1">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xr:uid="{00000000-0002-0000-0000-000000000000}">
      <formula1>"Sí,No"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H129"/>
  <sheetViews>
    <sheetView workbookViewId="0">
      <selection sqref="A1:H129"/>
    </sheetView>
  </sheetViews>
  <sheetFormatPr baseColWidth="10" defaultRowHeight="14.5" x14ac:dyDescent="0.35"/>
  <cols>
    <col min="1" max="1" width="9.08984375" bestFit="1" customWidth="1"/>
    <col min="2" max="2" width="19.6328125" bestFit="1" customWidth="1"/>
    <col min="3" max="3" width="19.36328125" bestFit="1" customWidth="1"/>
    <col min="4" max="4" width="20" bestFit="1" customWidth="1"/>
    <col min="5" max="5" width="11.1796875" bestFit="1" customWidth="1"/>
    <col min="6" max="6" width="21.1796875" bestFit="1" customWidth="1"/>
    <col min="7" max="7" width="48.81640625" customWidth="1"/>
    <col min="8" max="8" width="13.453125" bestFit="1" customWidth="1"/>
  </cols>
  <sheetData>
    <row r="1" spans="1:8" x14ac:dyDescent="0.35">
      <c r="A1" s="10" t="s">
        <v>9</v>
      </c>
      <c r="B1" s="10" t="s">
        <v>10</v>
      </c>
      <c r="C1" s="10" t="s">
        <v>11</v>
      </c>
      <c r="D1" s="10" t="s">
        <v>12</v>
      </c>
      <c r="E1" s="10" t="s">
        <v>13</v>
      </c>
      <c r="F1" s="10" t="s">
        <v>14</v>
      </c>
      <c r="G1" s="10" t="s">
        <v>15</v>
      </c>
      <c r="H1" s="8" t="s">
        <v>16</v>
      </c>
    </row>
    <row r="2" spans="1:8" x14ac:dyDescent="0.35">
      <c r="A2" s="8" t="s">
        <v>143</v>
      </c>
      <c r="B2" s="9"/>
      <c r="C2" s="9"/>
      <c r="D2" s="9"/>
      <c r="E2" s="9"/>
      <c r="F2" s="9"/>
      <c r="G2" s="9"/>
      <c r="H2" s="9" t="str">
        <f t="shared" ref="H2:H33" si="0">IF(F2="Sí","FUERA DE SERVICIO",IF(AND(B2="Sí",C2="Sí",D2="Sí",E2="Sí"),"COMPLETO",IF(COUNTIF(B2:E2,"Sí")&gt;0,"EN PROCESO","SIN REVISAR")))</f>
        <v>SIN REVISAR</v>
      </c>
    </row>
    <row r="3" spans="1:8" x14ac:dyDescent="0.35">
      <c r="A3" s="8" t="s">
        <v>144</v>
      </c>
      <c r="B3" s="9"/>
      <c r="C3" s="9"/>
      <c r="D3" s="9"/>
      <c r="E3" s="9"/>
      <c r="F3" s="9"/>
      <c r="G3" s="9"/>
      <c r="H3" s="9" t="str">
        <f t="shared" si="0"/>
        <v>SIN REVISAR</v>
      </c>
    </row>
    <row r="4" spans="1:8" x14ac:dyDescent="0.35">
      <c r="A4" s="8" t="s">
        <v>145</v>
      </c>
      <c r="B4" s="9"/>
      <c r="C4" s="9"/>
      <c r="D4" s="9"/>
      <c r="E4" s="9"/>
      <c r="F4" s="9"/>
      <c r="G4" s="9"/>
      <c r="H4" s="9" t="str">
        <f t="shared" si="0"/>
        <v>SIN REVISAR</v>
      </c>
    </row>
    <row r="5" spans="1:8" x14ac:dyDescent="0.35">
      <c r="A5" s="8" t="s">
        <v>146</v>
      </c>
      <c r="B5" s="9"/>
      <c r="C5" s="9"/>
      <c r="D5" s="9"/>
      <c r="E5" s="9"/>
      <c r="F5" s="9"/>
      <c r="G5" s="9"/>
      <c r="H5" s="9" t="str">
        <f t="shared" si="0"/>
        <v>SIN REVISAR</v>
      </c>
    </row>
    <row r="6" spans="1:8" x14ac:dyDescent="0.35">
      <c r="A6" s="8" t="s">
        <v>147</v>
      </c>
      <c r="B6" s="9"/>
      <c r="C6" s="9"/>
      <c r="D6" s="9"/>
      <c r="E6" s="9"/>
      <c r="F6" s="9"/>
      <c r="G6" s="9"/>
      <c r="H6" s="9" t="str">
        <f t="shared" si="0"/>
        <v>SIN REVISAR</v>
      </c>
    </row>
    <row r="7" spans="1:8" x14ac:dyDescent="0.35">
      <c r="A7" s="8" t="s">
        <v>148</v>
      </c>
      <c r="B7" s="9"/>
      <c r="C7" s="9"/>
      <c r="D7" s="9"/>
      <c r="E7" s="9"/>
      <c r="F7" s="9"/>
      <c r="G7" s="9"/>
      <c r="H7" s="9" t="str">
        <f t="shared" si="0"/>
        <v>SIN REVISAR</v>
      </c>
    </row>
    <row r="8" spans="1:8" x14ac:dyDescent="0.35">
      <c r="A8" s="8" t="s">
        <v>149</v>
      </c>
      <c r="B8" s="9"/>
      <c r="C8" s="9"/>
      <c r="D8" s="9"/>
      <c r="E8" s="9"/>
      <c r="F8" s="9"/>
      <c r="G8" s="9"/>
      <c r="H8" s="9" t="str">
        <f t="shared" si="0"/>
        <v>SIN REVISAR</v>
      </c>
    </row>
    <row r="9" spans="1:8" x14ac:dyDescent="0.35">
      <c r="A9" s="8" t="s">
        <v>150</v>
      </c>
      <c r="B9" s="9"/>
      <c r="C9" s="9"/>
      <c r="D9" s="9"/>
      <c r="E9" s="9"/>
      <c r="F9" s="9"/>
      <c r="G9" s="9"/>
      <c r="H9" s="9" t="str">
        <f t="shared" si="0"/>
        <v>SIN REVISAR</v>
      </c>
    </row>
    <row r="10" spans="1:8" x14ac:dyDescent="0.35">
      <c r="A10" s="8" t="s">
        <v>151</v>
      </c>
      <c r="B10" s="9"/>
      <c r="C10" s="9"/>
      <c r="D10" s="9"/>
      <c r="E10" s="9"/>
      <c r="F10" s="9"/>
      <c r="G10" s="9"/>
      <c r="H10" s="9" t="str">
        <f t="shared" si="0"/>
        <v>SIN REVISAR</v>
      </c>
    </row>
    <row r="11" spans="1:8" x14ac:dyDescent="0.35">
      <c r="A11" s="8" t="s">
        <v>152</v>
      </c>
      <c r="B11" s="9"/>
      <c r="C11" s="9"/>
      <c r="D11" s="9"/>
      <c r="E11" s="9"/>
      <c r="F11" s="9"/>
      <c r="G11" s="9"/>
      <c r="H11" s="9" t="str">
        <f t="shared" si="0"/>
        <v>SIN REVISAR</v>
      </c>
    </row>
    <row r="12" spans="1:8" x14ac:dyDescent="0.35">
      <c r="A12" s="8" t="s">
        <v>153</v>
      </c>
      <c r="B12" s="9"/>
      <c r="C12" s="9"/>
      <c r="D12" s="9"/>
      <c r="E12" s="9"/>
      <c r="F12" s="9"/>
      <c r="G12" s="9"/>
      <c r="H12" s="9" t="str">
        <f t="shared" si="0"/>
        <v>SIN REVISAR</v>
      </c>
    </row>
    <row r="13" spans="1:8" x14ac:dyDescent="0.35">
      <c r="A13" s="8" t="s">
        <v>154</v>
      </c>
      <c r="B13" s="9"/>
      <c r="C13" s="9"/>
      <c r="D13" s="9"/>
      <c r="E13" s="9"/>
      <c r="F13" s="9"/>
      <c r="G13" s="9"/>
      <c r="H13" s="9" t="str">
        <f t="shared" si="0"/>
        <v>SIN REVISAR</v>
      </c>
    </row>
    <row r="14" spans="1:8" x14ac:dyDescent="0.35">
      <c r="A14" s="8" t="s">
        <v>155</v>
      </c>
      <c r="B14" s="9"/>
      <c r="C14" s="9"/>
      <c r="D14" s="9"/>
      <c r="E14" s="9"/>
      <c r="F14" s="9"/>
      <c r="G14" s="9"/>
      <c r="H14" s="9" t="str">
        <f t="shared" si="0"/>
        <v>SIN REVISAR</v>
      </c>
    </row>
    <row r="15" spans="1:8" x14ac:dyDescent="0.35">
      <c r="A15" s="8" t="s">
        <v>156</v>
      </c>
      <c r="B15" s="9"/>
      <c r="C15" s="9"/>
      <c r="D15" s="9"/>
      <c r="E15" s="9"/>
      <c r="F15" s="9"/>
      <c r="G15" s="9"/>
      <c r="H15" s="9" t="str">
        <f t="shared" si="0"/>
        <v>SIN REVISAR</v>
      </c>
    </row>
    <row r="16" spans="1:8" x14ac:dyDescent="0.35">
      <c r="A16" s="8" t="s">
        <v>157</v>
      </c>
      <c r="B16" s="9"/>
      <c r="C16" s="9"/>
      <c r="D16" s="9"/>
      <c r="E16" s="9"/>
      <c r="F16" s="9"/>
      <c r="G16" s="9"/>
      <c r="H16" s="9" t="str">
        <f t="shared" si="0"/>
        <v>SIN REVISAR</v>
      </c>
    </row>
    <row r="17" spans="1:8" x14ac:dyDescent="0.35">
      <c r="A17" s="8" t="s">
        <v>158</v>
      </c>
      <c r="B17" s="9"/>
      <c r="C17" s="9"/>
      <c r="D17" s="9"/>
      <c r="E17" s="9"/>
      <c r="F17" s="9"/>
      <c r="G17" s="9"/>
      <c r="H17" s="9" t="str">
        <f t="shared" si="0"/>
        <v>SIN REVISAR</v>
      </c>
    </row>
    <row r="18" spans="1:8" x14ac:dyDescent="0.35">
      <c r="A18" s="8" t="s">
        <v>159</v>
      </c>
      <c r="B18" s="9"/>
      <c r="C18" s="9"/>
      <c r="D18" s="9"/>
      <c r="E18" s="9"/>
      <c r="F18" s="9"/>
      <c r="G18" s="9"/>
      <c r="H18" s="9" t="str">
        <f t="shared" si="0"/>
        <v>SIN REVISAR</v>
      </c>
    </row>
    <row r="19" spans="1:8" x14ac:dyDescent="0.35">
      <c r="A19" s="8" t="s">
        <v>160</v>
      </c>
      <c r="B19" s="9"/>
      <c r="C19" s="9"/>
      <c r="D19" s="9"/>
      <c r="E19" s="9"/>
      <c r="F19" s="9"/>
      <c r="G19" s="9"/>
      <c r="H19" s="9" t="str">
        <f t="shared" si="0"/>
        <v>SIN REVISAR</v>
      </c>
    </row>
    <row r="20" spans="1:8" x14ac:dyDescent="0.35">
      <c r="A20" s="8" t="s">
        <v>161</v>
      </c>
      <c r="B20" s="9"/>
      <c r="C20" s="9"/>
      <c r="D20" s="9"/>
      <c r="E20" s="9"/>
      <c r="F20" s="9"/>
      <c r="G20" s="9"/>
      <c r="H20" s="9" t="str">
        <f t="shared" si="0"/>
        <v>SIN REVISAR</v>
      </c>
    </row>
    <row r="21" spans="1:8" x14ac:dyDescent="0.35">
      <c r="A21" s="8" t="s">
        <v>162</v>
      </c>
      <c r="B21" s="9"/>
      <c r="C21" s="9"/>
      <c r="D21" s="9"/>
      <c r="E21" s="9"/>
      <c r="F21" s="9"/>
      <c r="G21" s="9"/>
      <c r="H21" s="9" t="str">
        <f t="shared" si="0"/>
        <v>SIN REVISAR</v>
      </c>
    </row>
    <row r="22" spans="1:8" x14ac:dyDescent="0.35">
      <c r="A22" s="8" t="s">
        <v>163</v>
      </c>
      <c r="B22" s="9"/>
      <c r="C22" s="9"/>
      <c r="D22" s="9"/>
      <c r="E22" s="9"/>
      <c r="F22" s="9"/>
      <c r="G22" s="9"/>
      <c r="H22" s="9" t="str">
        <f t="shared" si="0"/>
        <v>SIN REVISAR</v>
      </c>
    </row>
    <row r="23" spans="1:8" x14ac:dyDescent="0.35">
      <c r="A23" s="8" t="s">
        <v>164</v>
      </c>
      <c r="B23" s="9"/>
      <c r="C23" s="9"/>
      <c r="D23" s="9"/>
      <c r="E23" s="9"/>
      <c r="F23" s="9"/>
      <c r="G23" s="9"/>
      <c r="H23" s="9" t="str">
        <f t="shared" si="0"/>
        <v>SIN REVISAR</v>
      </c>
    </row>
    <row r="24" spans="1:8" x14ac:dyDescent="0.35">
      <c r="A24" s="8" t="s">
        <v>165</v>
      </c>
      <c r="B24" s="9"/>
      <c r="C24" s="9"/>
      <c r="D24" s="9"/>
      <c r="E24" s="9"/>
      <c r="F24" s="9"/>
      <c r="G24" s="9"/>
      <c r="H24" s="9" t="str">
        <f t="shared" si="0"/>
        <v>SIN REVISAR</v>
      </c>
    </row>
    <row r="25" spans="1:8" x14ac:dyDescent="0.35">
      <c r="A25" s="8" t="s">
        <v>166</v>
      </c>
      <c r="B25" s="9"/>
      <c r="C25" s="9"/>
      <c r="D25" s="9"/>
      <c r="E25" s="9"/>
      <c r="F25" s="9"/>
      <c r="G25" s="9"/>
      <c r="H25" s="9" t="str">
        <f t="shared" si="0"/>
        <v>SIN REVISAR</v>
      </c>
    </row>
    <row r="26" spans="1:8" x14ac:dyDescent="0.35">
      <c r="A26" s="8" t="s">
        <v>167</v>
      </c>
      <c r="B26" s="9"/>
      <c r="C26" s="9"/>
      <c r="D26" s="9"/>
      <c r="E26" s="9"/>
      <c r="F26" s="9"/>
      <c r="G26" s="9"/>
      <c r="H26" s="9" t="str">
        <f t="shared" si="0"/>
        <v>SIN REVISAR</v>
      </c>
    </row>
    <row r="27" spans="1:8" x14ac:dyDescent="0.35">
      <c r="A27" s="8" t="s">
        <v>168</v>
      </c>
      <c r="B27" s="9"/>
      <c r="C27" s="9"/>
      <c r="D27" s="9"/>
      <c r="E27" s="9"/>
      <c r="F27" s="9"/>
      <c r="G27" s="9"/>
      <c r="H27" s="9" t="str">
        <f t="shared" si="0"/>
        <v>SIN REVISAR</v>
      </c>
    </row>
    <row r="28" spans="1:8" x14ac:dyDescent="0.35">
      <c r="A28" s="8" t="s">
        <v>169</v>
      </c>
      <c r="B28" s="9"/>
      <c r="C28" s="9"/>
      <c r="D28" s="9"/>
      <c r="E28" s="9"/>
      <c r="F28" s="9"/>
      <c r="G28" s="9"/>
      <c r="H28" s="9" t="str">
        <f t="shared" si="0"/>
        <v>SIN REVISAR</v>
      </c>
    </row>
    <row r="29" spans="1:8" x14ac:dyDescent="0.35">
      <c r="A29" s="8" t="s">
        <v>170</v>
      </c>
      <c r="B29" s="9"/>
      <c r="C29" s="9"/>
      <c r="D29" s="9"/>
      <c r="E29" s="9"/>
      <c r="F29" s="9"/>
      <c r="G29" s="9"/>
      <c r="H29" s="9" t="str">
        <f t="shared" si="0"/>
        <v>SIN REVISAR</v>
      </c>
    </row>
    <row r="30" spans="1:8" x14ac:dyDescent="0.35">
      <c r="A30" s="8" t="s">
        <v>171</v>
      </c>
      <c r="B30" s="9"/>
      <c r="C30" s="9"/>
      <c r="D30" s="9"/>
      <c r="E30" s="9"/>
      <c r="F30" s="9"/>
      <c r="G30" s="9"/>
      <c r="H30" s="9" t="str">
        <f t="shared" si="0"/>
        <v>SIN REVISAR</v>
      </c>
    </row>
    <row r="31" spans="1:8" x14ac:dyDescent="0.35">
      <c r="A31" s="8" t="s">
        <v>172</v>
      </c>
      <c r="B31" s="9"/>
      <c r="C31" s="9"/>
      <c r="D31" s="9"/>
      <c r="E31" s="9"/>
      <c r="F31" s="9"/>
      <c r="G31" s="9"/>
      <c r="H31" s="9" t="str">
        <f t="shared" si="0"/>
        <v>SIN REVISAR</v>
      </c>
    </row>
    <row r="32" spans="1:8" x14ac:dyDescent="0.35">
      <c r="A32" s="8" t="s">
        <v>173</v>
      </c>
      <c r="B32" s="9"/>
      <c r="C32" s="9"/>
      <c r="D32" s="9"/>
      <c r="E32" s="9"/>
      <c r="F32" s="9"/>
      <c r="G32" s="9"/>
      <c r="H32" s="9" t="str">
        <f t="shared" si="0"/>
        <v>SIN REVISAR</v>
      </c>
    </row>
    <row r="33" spans="1:8" x14ac:dyDescent="0.35">
      <c r="A33" s="8" t="s">
        <v>174</v>
      </c>
      <c r="B33" s="9"/>
      <c r="C33" s="9"/>
      <c r="D33" s="9"/>
      <c r="E33" s="9"/>
      <c r="F33" s="9"/>
      <c r="G33" s="9"/>
      <c r="H33" s="9" t="str">
        <f t="shared" si="0"/>
        <v>SIN REVISAR</v>
      </c>
    </row>
    <row r="34" spans="1:8" x14ac:dyDescent="0.35">
      <c r="A34" s="8" t="s">
        <v>175</v>
      </c>
      <c r="B34" s="9"/>
      <c r="C34" s="9"/>
      <c r="D34" s="9"/>
      <c r="E34" s="9"/>
      <c r="F34" s="9"/>
      <c r="G34" s="9"/>
      <c r="H34" s="9" t="str">
        <f t="shared" ref="H34:H65" si="1">IF(F34="Sí","FUERA DE SERVICIO",IF(AND(B34="Sí",C34="Sí",D34="Sí",E34="Sí"),"COMPLETO",IF(COUNTIF(B34:E34,"Sí")&gt;0,"EN PROCESO","SIN REVISAR")))</f>
        <v>SIN REVISAR</v>
      </c>
    </row>
    <row r="35" spans="1:8" x14ac:dyDescent="0.35">
      <c r="A35" s="8" t="s">
        <v>176</v>
      </c>
      <c r="B35" s="9"/>
      <c r="C35" s="9"/>
      <c r="D35" s="9"/>
      <c r="E35" s="9"/>
      <c r="F35" s="9"/>
      <c r="G35" s="9"/>
      <c r="H35" s="9" t="str">
        <f t="shared" si="1"/>
        <v>SIN REVISAR</v>
      </c>
    </row>
    <row r="36" spans="1:8" x14ac:dyDescent="0.35">
      <c r="A36" s="8" t="s">
        <v>177</v>
      </c>
      <c r="B36" s="9"/>
      <c r="C36" s="9"/>
      <c r="D36" s="9"/>
      <c r="E36" s="9"/>
      <c r="F36" s="9"/>
      <c r="G36" s="9"/>
      <c r="H36" s="9" t="str">
        <f t="shared" si="1"/>
        <v>SIN REVISAR</v>
      </c>
    </row>
    <row r="37" spans="1:8" x14ac:dyDescent="0.35">
      <c r="A37" s="8" t="s">
        <v>178</v>
      </c>
      <c r="B37" s="9"/>
      <c r="C37" s="9"/>
      <c r="D37" s="9"/>
      <c r="E37" s="9"/>
      <c r="F37" s="9"/>
      <c r="G37" s="9"/>
      <c r="H37" s="9" t="str">
        <f t="shared" si="1"/>
        <v>SIN REVISAR</v>
      </c>
    </row>
    <row r="38" spans="1:8" x14ac:dyDescent="0.35">
      <c r="A38" s="8" t="s">
        <v>179</v>
      </c>
      <c r="B38" s="9"/>
      <c r="C38" s="9"/>
      <c r="D38" s="9"/>
      <c r="E38" s="9"/>
      <c r="F38" s="9"/>
      <c r="G38" s="9"/>
      <c r="H38" s="9" t="str">
        <f t="shared" si="1"/>
        <v>SIN REVISAR</v>
      </c>
    </row>
    <row r="39" spans="1:8" x14ac:dyDescent="0.35">
      <c r="A39" s="8" t="s">
        <v>180</v>
      </c>
      <c r="B39" s="9"/>
      <c r="C39" s="9"/>
      <c r="D39" s="9"/>
      <c r="E39" s="9"/>
      <c r="F39" s="9"/>
      <c r="G39" s="9"/>
      <c r="H39" s="9" t="str">
        <f t="shared" si="1"/>
        <v>SIN REVISAR</v>
      </c>
    </row>
    <row r="40" spans="1:8" x14ac:dyDescent="0.35">
      <c r="A40" s="8" t="s">
        <v>181</v>
      </c>
      <c r="B40" s="9"/>
      <c r="C40" s="9"/>
      <c r="D40" s="9"/>
      <c r="E40" s="9"/>
      <c r="F40" s="9"/>
      <c r="G40" s="9"/>
      <c r="H40" s="9" t="str">
        <f t="shared" si="1"/>
        <v>SIN REVISAR</v>
      </c>
    </row>
    <row r="41" spans="1:8" x14ac:dyDescent="0.35">
      <c r="A41" s="8" t="s">
        <v>182</v>
      </c>
      <c r="B41" s="9"/>
      <c r="C41" s="9"/>
      <c r="D41" s="9"/>
      <c r="E41" s="9"/>
      <c r="F41" s="9"/>
      <c r="G41" s="9"/>
      <c r="H41" s="9" t="str">
        <f t="shared" si="1"/>
        <v>SIN REVISAR</v>
      </c>
    </row>
    <row r="42" spans="1:8" x14ac:dyDescent="0.35">
      <c r="A42" s="8" t="s">
        <v>183</v>
      </c>
      <c r="B42" s="9"/>
      <c r="C42" s="9"/>
      <c r="D42" s="9"/>
      <c r="E42" s="9"/>
      <c r="F42" s="9"/>
      <c r="G42" s="9"/>
      <c r="H42" s="9" t="str">
        <f t="shared" si="1"/>
        <v>SIN REVISAR</v>
      </c>
    </row>
    <row r="43" spans="1:8" x14ac:dyDescent="0.35">
      <c r="A43" s="8" t="s">
        <v>184</v>
      </c>
      <c r="B43" s="9"/>
      <c r="C43" s="9"/>
      <c r="D43" s="9"/>
      <c r="E43" s="9"/>
      <c r="F43" s="9"/>
      <c r="G43" s="9"/>
      <c r="H43" s="9" t="str">
        <f t="shared" si="1"/>
        <v>SIN REVISAR</v>
      </c>
    </row>
    <row r="44" spans="1:8" x14ac:dyDescent="0.35">
      <c r="A44" s="8" t="s">
        <v>185</v>
      </c>
      <c r="B44" s="9"/>
      <c r="C44" s="9"/>
      <c r="D44" s="9"/>
      <c r="E44" s="9"/>
      <c r="F44" s="9"/>
      <c r="G44" s="9"/>
      <c r="H44" s="9" t="str">
        <f t="shared" si="1"/>
        <v>SIN REVISAR</v>
      </c>
    </row>
    <row r="45" spans="1:8" x14ac:dyDescent="0.35">
      <c r="A45" s="8" t="s">
        <v>186</v>
      </c>
      <c r="B45" s="9"/>
      <c r="C45" s="9"/>
      <c r="D45" s="9"/>
      <c r="E45" s="9"/>
      <c r="F45" s="9"/>
      <c r="G45" s="9"/>
      <c r="H45" s="9" t="str">
        <f t="shared" si="1"/>
        <v>SIN REVISAR</v>
      </c>
    </row>
    <row r="46" spans="1:8" x14ac:dyDescent="0.35">
      <c r="A46" s="8" t="s">
        <v>187</v>
      </c>
      <c r="B46" s="9"/>
      <c r="C46" s="9"/>
      <c r="D46" s="9"/>
      <c r="E46" s="9"/>
      <c r="F46" s="9"/>
      <c r="G46" s="9"/>
      <c r="H46" s="9" t="str">
        <f t="shared" si="1"/>
        <v>SIN REVISAR</v>
      </c>
    </row>
    <row r="47" spans="1:8" x14ac:dyDescent="0.35">
      <c r="A47" s="8" t="s">
        <v>188</v>
      </c>
      <c r="B47" s="9"/>
      <c r="C47" s="9"/>
      <c r="D47" s="9"/>
      <c r="E47" s="9"/>
      <c r="F47" s="9"/>
      <c r="G47" s="9"/>
      <c r="H47" s="9" t="str">
        <f t="shared" si="1"/>
        <v>SIN REVISAR</v>
      </c>
    </row>
    <row r="48" spans="1:8" x14ac:dyDescent="0.35">
      <c r="A48" s="8" t="s">
        <v>189</v>
      </c>
      <c r="B48" s="9"/>
      <c r="C48" s="9"/>
      <c r="D48" s="9"/>
      <c r="E48" s="9"/>
      <c r="F48" s="9"/>
      <c r="G48" s="9"/>
      <c r="H48" s="9" t="str">
        <f t="shared" si="1"/>
        <v>SIN REVISAR</v>
      </c>
    </row>
    <row r="49" spans="1:8" x14ac:dyDescent="0.35">
      <c r="A49" s="8" t="s">
        <v>190</v>
      </c>
      <c r="B49" s="9"/>
      <c r="C49" s="9"/>
      <c r="D49" s="9"/>
      <c r="E49" s="9"/>
      <c r="F49" s="9"/>
      <c r="G49" s="9"/>
      <c r="H49" s="9" t="str">
        <f t="shared" si="1"/>
        <v>SIN REVISAR</v>
      </c>
    </row>
    <row r="50" spans="1:8" x14ac:dyDescent="0.35">
      <c r="A50" s="8" t="s">
        <v>191</v>
      </c>
      <c r="B50" s="9"/>
      <c r="C50" s="9"/>
      <c r="D50" s="9"/>
      <c r="E50" s="9"/>
      <c r="F50" s="9"/>
      <c r="G50" s="9"/>
      <c r="H50" s="9" t="str">
        <f t="shared" si="1"/>
        <v>SIN REVISAR</v>
      </c>
    </row>
    <row r="51" spans="1:8" x14ac:dyDescent="0.35">
      <c r="A51" s="8" t="s">
        <v>192</v>
      </c>
      <c r="B51" s="9"/>
      <c r="C51" s="9"/>
      <c r="D51" s="9"/>
      <c r="E51" s="9"/>
      <c r="F51" s="9"/>
      <c r="G51" s="9"/>
      <c r="H51" s="9" t="str">
        <f t="shared" si="1"/>
        <v>SIN REVISAR</v>
      </c>
    </row>
    <row r="52" spans="1:8" x14ac:dyDescent="0.35">
      <c r="A52" s="8" t="s">
        <v>193</v>
      </c>
      <c r="B52" s="9"/>
      <c r="C52" s="9"/>
      <c r="D52" s="9"/>
      <c r="E52" s="9"/>
      <c r="F52" s="9"/>
      <c r="G52" s="9"/>
      <c r="H52" s="9" t="str">
        <f t="shared" si="1"/>
        <v>SIN REVISAR</v>
      </c>
    </row>
    <row r="53" spans="1:8" x14ac:dyDescent="0.35">
      <c r="A53" s="8" t="s">
        <v>194</v>
      </c>
      <c r="B53" s="9"/>
      <c r="C53" s="9"/>
      <c r="D53" s="9"/>
      <c r="E53" s="9"/>
      <c r="F53" s="9"/>
      <c r="G53" s="9"/>
      <c r="H53" s="9" t="str">
        <f t="shared" si="1"/>
        <v>SIN REVISAR</v>
      </c>
    </row>
    <row r="54" spans="1:8" x14ac:dyDescent="0.35">
      <c r="A54" s="8" t="s">
        <v>195</v>
      </c>
      <c r="B54" s="9"/>
      <c r="C54" s="9"/>
      <c r="D54" s="9"/>
      <c r="E54" s="9"/>
      <c r="F54" s="9"/>
      <c r="G54" s="9"/>
      <c r="H54" s="9" t="str">
        <f t="shared" si="1"/>
        <v>SIN REVISAR</v>
      </c>
    </row>
    <row r="55" spans="1:8" x14ac:dyDescent="0.35">
      <c r="A55" s="8" t="s">
        <v>196</v>
      </c>
      <c r="B55" s="9"/>
      <c r="C55" s="9"/>
      <c r="D55" s="9"/>
      <c r="E55" s="9"/>
      <c r="F55" s="9"/>
      <c r="G55" s="9"/>
      <c r="H55" s="9" t="str">
        <f t="shared" si="1"/>
        <v>SIN REVISAR</v>
      </c>
    </row>
    <row r="56" spans="1:8" x14ac:dyDescent="0.35">
      <c r="A56" s="8" t="s">
        <v>197</v>
      </c>
      <c r="B56" s="9"/>
      <c r="C56" s="9"/>
      <c r="D56" s="9"/>
      <c r="E56" s="9"/>
      <c r="F56" s="9"/>
      <c r="G56" s="9"/>
      <c r="H56" s="9" t="str">
        <f t="shared" si="1"/>
        <v>SIN REVISAR</v>
      </c>
    </row>
    <row r="57" spans="1:8" x14ac:dyDescent="0.35">
      <c r="A57" s="8" t="s">
        <v>198</v>
      </c>
      <c r="B57" s="9"/>
      <c r="C57" s="9"/>
      <c r="D57" s="9"/>
      <c r="E57" s="9"/>
      <c r="F57" s="9"/>
      <c r="G57" s="9"/>
      <c r="H57" s="9" t="str">
        <f t="shared" si="1"/>
        <v>SIN REVISAR</v>
      </c>
    </row>
    <row r="58" spans="1:8" x14ac:dyDescent="0.35">
      <c r="A58" s="8" t="s">
        <v>199</v>
      </c>
      <c r="B58" s="9"/>
      <c r="C58" s="9"/>
      <c r="D58" s="9"/>
      <c r="E58" s="9"/>
      <c r="F58" s="9"/>
      <c r="G58" s="9"/>
      <c r="H58" s="9" t="str">
        <f t="shared" si="1"/>
        <v>SIN REVISAR</v>
      </c>
    </row>
    <row r="59" spans="1:8" x14ac:dyDescent="0.35">
      <c r="A59" s="8" t="s">
        <v>200</v>
      </c>
      <c r="B59" s="9"/>
      <c r="C59" s="9"/>
      <c r="D59" s="9"/>
      <c r="E59" s="9"/>
      <c r="F59" s="9"/>
      <c r="G59" s="9"/>
      <c r="H59" s="9" t="str">
        <f t="shared" si="1"/>
        <v>SIN REVISAR</v>
      </c>
    </row>
    <row r="60" spans="1:8" x14ac:dyDescent="0.35">
      <c r="A60" s="8" t="s">
        <v>201</v>
      </c>
      <c r="B60" s="9"/>
      <c r="C60" s="9"/>
      <c r="D60" s="9"/>
      <c r="E60" s="9"/>
      <c r="F60" s="9"/>
      <c r="G60" s="9"/>
      <c r="H60" s="9" t="str">
        <f t="shared" si="1"/>
        <v>SIN REVISAR</v>
      </c>
    </row>
    <row r="61" spans="1:8" x14ac:dyDescent="0.35">
      <c r="A61" s="8" t="s">
        <v>202</v>
      </c>
      <c r="B61" s="9"/>
      <c r="C61" s="9"/>
      <c r="D61" s="9"/>
      <c r="E61" s="9"/>
      <c r="F61" s="9"/>
      <c r="G61" s="9"/>
      <c r="H61" s="9" t="str">
        <f t="shared" si="1"/>
        <v>SIN REVISAR</v>
      </c>
    </row>
    <row r="62" spans="1:8" x14ac:dyDescent="0.35">
      <c r="A62" s="8" t="s">
        <v>203</v>
      </c>
      <c r="B62" s="9"/>
      <c r="C62" s="9"/>
      <c r="D62" s="9"/>
      <c r="E62" s="9"/>
      <c r="F62" s="9"/>
      <c r="G62" s="9"/>
      <c r="H62" s="9" t="str">
        <f t="shared" si="1"/>
        <v>SIN REVISAR</v>
      </c>
    </row>
    <row r="63" spans="1:8" x14ac:dyDescent="0.35">
      <c r="A63" s="8" t="s">
        <v>204</v>
      </c>
      <c r="B63" s="9"/>
      <c r="C63" s="9"/>
      <c r="D63" s="9"/>
      <c r="E63" s="9"/>
      <c r="F63" s="9"/>
      <c r="G63" s="9"/>
      <c r="H63" s="9" t="str">
        <f t="shared" si="1"/>
        <v>SIN REVISAR</v>
      </c>
    </row>
    <row r="64" spans="1:8" x14ac:dyDescent="0.35">
      <c r="A64" s="8" t="s">
        <v>205</v>
      </c>
      <c r="B64" s="9"/>
      <c r="C64" s="9"/>
      <c r="D64" s="9"/>
      <c r="E64" s="9"/>
      <c r="F64" s="9"/>
      <c r="G64" s="9"/>
      <c r="H64" s="9" t="str">
        <f t="shared" si="1"/>
        <v>SIN REVISAR</v>
      </c>
    </row>
    <row r="65" spans="1:8" x14ac:dyDescent="0.35">
      <c r="A65" s="8" t="s">
        <v>206</v>
      </c>
      <c r="B65" s="9"/>
      <c r="C65" s="9"/>
      <c r="D65" s="9"/>
      <c r="E65" s="9"/>
      <c r="F65" s="9"/>
      <c r="G65" s="9"/>
      <c r="H65" s="9" t="str">
        <f t="shared" si="1"/>
        <v>SIN REVISAR</v>
      </c>
    </row>
    <row r="66" spans="1:8" x14ac:dyDescent="0.35">
      <c r="A66" s="8" t="s">
        <v>207</v>
      </c>
      <c r="B66" s="9"/>
      <c r="C66" s="9"/>
      <c r="D66" s="9"/>
      <c r="E66" s="9"/>
      <c r="F66" s="9"/>
      <c r="G66" s="9"/>
      <c r="H66" s="9" t="str">
        <f t="shared" ref="H66:H97" si="2">IF(F66="Sí","FUERA DE SERVICIO",IF(AND(B66="Sí",C66="Sí",D66="Sí",E66="Sí"),"COMPLETO",IF(COUNTIF(B66:E66,"Sí")&gt;0,"EN PROCESO","SIN REVISAR")))</f>
        <v>SIN REVISAR</v>
      </c>
    </row>
    <row r="67" spans="1:8" x14ac:dyDescent="0.35">
      <c r="A67" s="8" t="s">
        <v>208</v>
      </c>
      <c r="B67" s="9"/>
      <c r="C67" s="9"/>
      <c r="D67" s="9"/>
      <c r="E67" s="9"/>
      <c r="F67" s="9"/>
      <c r="G67" s="9"/>
      <c r="H67" s="9" t="str">
        <f t="shared" si="2"/>
        <v>SIN REVISAR</v>
      </c>
    </row>
    <row r="68" spans="1:8" x14ac:dyDescent="0.35">
      <c r="A68" s="8" t="s">
        <v>209</v>
      </c>
      <c r="B68" s="9"/>
      <c r="C68" s="9"/>
      <c r="D68" s="9"/>
      <c r="E68" s="9"/>
      <c r="F68" s="9"/>
      <c r="G68" s="9"/>
      <c r="H68" s="9" t="str">
        <f t="shared" si="2"/>
        <v>SIN REVISAR</v>
      </c>
    </row>
    <row r="69" spans="1:8" x14ac:dyDescent="0.35">
      <c r="A69" s="8" t="s">
        <v>210</v>
      </c>
      <c r="B69" s="9"/>
      <c r="C69" s="9"/>
      <c r="D69" s="9"/>
      <c r="E69" s="9"/>
      <c r="F69" s="9"/>
      <c r="G69" s="9"/>
      <c r="H69" s="9" t="str">
        <f t="shared" si="2"/>
        <v>SIN REVISAR</v>
      </c>
    </row>
    <row r="70" spans="1:8" x14ac:dyDescent="0.35">
      <c r="A70" s="8" t="s">
        <v>211</v>
      </c>
      <c r="B70" s="9"/>
      <c r="C70" s="9"/>
      <c r="D70" s="9"/>
      <c r="E70" s="9"/>
      <c r="F70" s="9"/>
      <c r="G70" s="9"/>
      <c r="H70" s="9" t="str">
        <f t="shared" si="2"/>
        <v>SIN REVISAR</v>
      </c>
    </row>
    <row r="71" spans="1:8" x14ac:dyDescent="0.35">
      <c r="A71" s="8" t="s">
        <v>212</v>
      </c>
      <c r="B71" s="9"/>
      <c r="C71" s="9"/>
      <c r="D71" s="9"/>
      <c r="E71" s="9"/>
      <c r="F71" s="9"/>
      <c r="G71" s="9"/>
      <c r="H71" s="9" t="str">
        <f t="shared" si="2"/>
        <v>SIN REVISAR</v>
      </c>
    </row>
    <row r="72" spans="1:8" x14ac:dyDescent="0.35">
      <c r="A72" s="8" t="s">
        <v>213</v>
      </c>
      <c r="B72" s="9"/>
      <c r="C72" s="9"/>
      <c r="D72" s="9"/>
      <c r="E72" s="9"/>
      <c r="F72" s="9"/>
      <c r="G72" s="9"/>
      <c r="H72" s="9" t="str">
        <f t="shared" si="2"/>
        <v>SIN REVISAR</v>
      </c>
    </row>
    <row r="73" spans="1:8" x14ac:dyDescent="0.35">
      <c r="A73" s="8" t="s">
        <v>214</v>
      </c>
      <c r="B73" s="9"/>
      <c r="C73" s="9"/>
      <c r="D73" s="9"/>
      <c r="E73" s="9"/>
      <c r="F73" s="9"/>
      <c r="G73" s="9"/>
      <c r="H73" s="9" t="str">
        <f t="shared" si="2"/>
        <v>SIN REVISAR</v>
      </c>
    </row>
    <row r="74" spans="1:8" x14ac:dyDescent="0.35">
      <c r="A74" s="8" t="s">
        <v>215</v>
      </c>
      <c r="B74" s="9"/>
      <c r="C74" s="9"/>
      <c r="D74" s="9"/>
      <c r="E74" s="9"/>
      <c r="F74" s="9"/>
      <c r="G74" s="9"/>
      <c r="H74" s="9" t="str">
        <f t="shared" si="2"/>
        <v>SIN REVISAR</v>
      </c>
    </row>
    <row r="75" spans="1:8" x14ac:dyDescent="0.35">
      <c r="A75" s="8" t="s">
        <v>216</v>
      </c>
      <c r="B75" s="9"/>
      <c r="C75" s="9"/>
      <c r="D75" s="9"/>
      <c r="E75" s="9"/>
      <c r="F75" s="9"/>
      <c r="G75" s="9"/>
      <c r="H75" s="9" t="str">
        <f t="shared" si="2"/>
        <v>SIN REVISAR</v>
      </c>
    </row>
    <row r="76" spans="1:8" x14ac:dyDescent="0.35">
      <c r="A76" s="8" t="s">
        <v>217</v>
      </c>
      <c r="B76" s="9"/>
      <c r="C76" s="9"/>
      <c r="D76" s="9"/>
      <c r="E76" s="9"/>
      <c r="F76" s="9"/>
      <c r="G76" s="9"/>
      <c r="H76" s="9" t="str">
        <f t="shared" si="2"/>
        <v>SIN REVISAR</v>
      </c>
    </row>
    <row r="77" spans="1:8" x14ac:dyDescent="0.35">
      <c r="A77" s="8" t="s">
        <v>218</v>
      </c>
      <c r="B77" s="9"/>
      <c r="C77" s="9"/>
      <c r="D77" s="9"/>
      <c r="E77" s="9"/>
      <c r="F77" s="9"/>
      <c r="G77" s="9"/>
      <c r="H77" s="9" t="str">
        <f t="shared" si="2"/>
        <v>SIN REVISAR</v>
      </c>
    </row>
    <row r="78" spans="1:8" x14ac:dyDescent="0.35">
      <c r="A78" s="8" t="s">
        <v>219</v>
      </c>
      <c r="B78" s="9"/>
      <c r="C78" s="9"/>
      <c r="D78" s="9"/>
      <c r="E78" s="9"/>
      <c r="F78" s="9"/>
      <c r="G78" s="9"/>
      <c r="H78" s="9" t="str">
        <f t="shared" si="2"/>
        <v>SIN REVISAR</v>
      </c>
    </row>
    <row r="79" spans="1:8" x14ac:dyDescent="0.35">
      <c r="A79" s="8" t="s">
        <v>220</v>
      </c>
      <c r="B79" s="9"/>
      <c r="C79" s="9"/>
      <c r="D79" s="9"/>
      <c r="E79" s="9"/>
      <c r="F79" s="9"/>
      <c r="G79" s="9"/>
      <c r="H79" s="9" t="str">
        <f t="shared" si="2"/>
        <v>SIN REVISAR</v>
      </c>
    </row>
    <row r="80" spans="1:8" x14ac:dyDescent="0.35">
      <c r="A80" s="8" t="s">
        <v>221</v>
      </c>
      <c r="B80" s="9"/>
      <c r="C80" s="9"/>
      <c r="D80" s="9"/>
      <c r="E80" s="9"/>
      <c r="F80" s="9"/>
      <c r="G80" s="9"/>
      <c r="H80" s="9" t="str">
        <f t="shared" si="2"/>
        <v>SIN REVISAR</v>
      </c>
    </row>
    <row r="81" spans="1:8" x14ac:dyDescent="0.35">
      <c r="A81" s="8" t="s">
        <v>222</v>
      </c>
      <c r="B81" s="9"/>
      <c r="C81" s="9"/>
      <c r="D81" s="9"/>
      <c r="E81" s="9"/>
      <c r="F81" s="9"/>
      <c r="G81" s="9"/>
      <c r="H81" s="9" t="str">
        <f t="shared" si="2"/>
        <v>SIN REVISAR</v>
      </c>
    </row>
    <row r="82" spans="1:8" x14ac:dyDescent="0.35">
      <c r="A82" s="8" t="s">
        <v>223</v>
      </c>
      <c r="B82" s="9"/>
      <c r="C82" s="9"/>
      <c r="D82" s="9"/>
      <c r="E82" s="9"/>
      <c r="F82" s="9"/>
      <c r="G82" s="9"/>
      <c r="H82" s="9" t="str">
        <f t="shared" si="2"/>
        <v>SIN REVISAR</v>
      </c>
    </row>
    <row r="83" spans="1:8" x14ac:dyDescent="0.35">
      <c r="A83" s="8" t="s">
        <v>224</v>
      </c>
      <c r="B83" s="9"/>
      <c r="C83" s="9"/>
      <c r="D83" s="9"/>
      <c r="E83" s="9"/>
      <c r="F83" s="9"/>
      <c r="G83" s="9"/>
      <c r="H83" s="9" t="str">
        <f t="shared" si="2"/>
        <v>SIN REVISAR</v>
      </c>
    </row>
    <row r="84" spans="1:8" x14ac:dyDescent="0.35">
      <c r="A84" s="8" t="s">
        <v>225</v>
      </c>
      <c r="B84" s="9"/>
      <c r="C84" s="9"/>
      <c r="D84" s="9"/>
      <c r="E84" s="9"/>
      <c r="F84" s="9"/>
      <c r="G84" s="9"/>
      <c r="H84" s="9" t="str">
        <f t="shared" si="2"/>
        <v>SIN REVISAR</v>
      </c>
    </row>
    <row r="85" spans="1:8" x14ac:dyDescent="0.35">
      <c r="A85" s="8" t="s">
        <v>226</v>
      </c>
      <c r="B85" s="9"/>
      <c r="C85" s="9"/>
      <c r="D85" s="9"/>
      <c r="E85" s="9"/>
      <c r="F85" s="9"/>
      <c r="G85" s="9"/>
      <c r="H85" s="9" t="str">
        <f t="shared" si="2"/>
        <v>SIN REVISAR</v>
      </c>
    </row>
    <row r="86" spans="1:8" x14ac:dyDescent="0.35">
      <c r="A86" s="8" t="s">
        <v>227</v>
      </c>
      <c r="B86" s="9"/>
      <c r="C86" s="9"/>
      <c r="D86" s="9"/>
      <c r="E86" s="9"/>
      <c r="F86" s="9"/>
      <c r="G86" s="9"/>
      <c r="H86" s="9" t="str">
        <f t="shared" si="2"/>
        <v>SIN REVISAR</v>
      </c>
    </row>
    <row r="87" spans="1:8" x14ac:dyDescent="0.35">
      <c r="A87" s="8" t="s">
        <v>228</v>
      </c>
      <c r="B87" s="9"/>
      <c r="C87" s="9"/>
      <c r="D87" s="9"/>
      <c r="E87" s="9"/>
      <c r="F87" s="9"/>
      <c r="G87" s="9"/>
      <c r="H87" s="9" t="str">
        <f t="shared" si="2"/>
        <v>SIN REVISAR</v>
      </c>
    </row>
    <row r="88" spans="1:8" x14ac:dyDescent="0.35">
      <c r="A88" s="8" t="s">
        <v>229</v>
      </c>
      <c r="B88" s="9"/>
      <c r="C88" s="9"/>
      <c r="D88" s="9"/>
      <c r="E88" s="9"/>
      <c r="F88" s="9"/>
      <c r="G88" s="9"/>
      <c r="H88" s="9" t="str">
        <f t="shared" si="2"/>
        <v>SIN REVISAR</v>
      </c>
    </row>
    <row r="89" spans="1:8" x14ac:dyDescent="0.35">
      <c r="A89" s="8" t="s">
        <v>230</v>
      </c>
      <c r="B89" s="9"/>
      <c r="C89" s="9"/>
      <c r="D89" s="9"/>
      <c r="E89" s="9"/>
      <c r="F89" s="9"/>
      <c r="G89" s="9"/>
      <c r="H89" s="9" t="str">
        <f t="shared" si="2"/>
        <v>SIN REVISAR</v>
      </c>
    </row>
    <row r="90" spans="1:8" x14ac:dyDescent="0.35">
      <c r="A90" s="8" t="s">
        <v>231</v>
      </c>
      <c r="B90" s="9"/>
      <c r="C90" s="9"/>
      <c r="D90" s="9"/>
      <c r="E90" s="9"/>
      <c r="F90" s="9"/>
      <c r="G90" s="9"/>
      <c r="H90" s="9" t="str">
        <f t="shared" si="2"/>
        <v>SIN REVISAR</v>
      </c>
    </row>
    <row r="91" spans="1:8" x14ac:dyDescent="0.35">
      <c r="A91" s="8" t="s">
        <v>232</v>
      </c>
      <c r="B91" s="9"/>
      <c r="C91" s="9"/>
      <c r="D91" s="9"/>
      <c r="E91" s="9"/>
      <c r="F91" s="9"/>
      <c r="G91" s="9"/>
      <c r="H91" s="9" t="str">
        <f t="shared" si="2"/>
        <v>SIN REVISAR</v>
      </c>
    </row>
    <row r="92" spans="1:8" x14ac:dyDescent="0.35">
      <c r="A92" s="8" t="s">
        <v>233</v>
      </c>
      <c r="B92" s="9"/>
      <c r="C92" s="9"/>
      <c r="D92" s="9"/>
      <c r="E92" s="9"/>
      <c r="F92" s="9"/>
      <c r="G92" s="9"/>
      <c r="H92" s="9" t="str">
        <f t="shared" si="2"/>
        <v>SIN REVISAR</v>
      </c>
    </row>
    <row r="93" spans="1:8" x14ac:dyDescent="0.35">
      <c r="A93" s="8" t="s">
        <v>234</v>
      </c>
      <c r="B93" s="9"/>
      <c r="C93" s="9"/>
      <c r="D93" s="9"/>
      <c r="E93" s="9"/>
      <c r="F93" s="9"/>
      <c r="G93" s="9"/>
      <c r="H93" s="9" t="str">
        <f t="shared" si="2"/>
        <v>SIN REVISAR</v>
      </c>
    </row>
    <row r="94" spans="1:8" x14ac:dyDescent="0.35">
      <c r="A94" s="8" t="s">
        <v>235</v>
      </c>
      <c r="B94" s="9"/>
      <c r="C94" s="9"/>
      <c r="D94" s="9"/>
      <c r="E94" s="9"/>
      <c r="F94" s="9"/>
      <c r="G94" s="9"/>
      <c r="H94" s="9" t="str">
        <f t="shared" si="2"/>
        <v>SIN REVISAR</v>
      </c>
    </row>
    <row r="95" spans="1:8" x14ac:dyDescent="0.35">
      <c r="A95" s="8" t="s">
        <v>236</v>
      </c>
      <c r="B95" s="9"/>
      <c r="C95" s="9"/>
      <c r="D95" s="9"/>
      <c r="E95" s="9"/>
      <c r="F95" s="9"/>
      <c r="G95" s="9"/>
      <c r="H95" s="9" t="str">
        <f t="shared" si="2"/>
        <v>SIN REVISAR</v>
      </c>
    </row>
    <row r="96" spans="1:8" x14ac:dyDescent="0.35">
      <c r="A96" s="8" t="s">
        <v>237</v>
      </c>
      <c r="B96" s="9"/>
      <c r="C96" s="9"/>
      <c r="D96" s="9"/>
      <c r="E96" s="9"/>
      <c r="F96" s="9"/>
      <c r="G96" s="9"/>
      <c r="H96" s="9" t="str">
        <f t="shared" si="2"/>
        <v>SIN REVISAR</v>
      </c>
    </row>
    <row r="97" spans="1:8" x14ac:dyDescent="0.35">
      <c r="A97" s="8" t="s">
        <v>238</v>
      </c>
      <c r="B97" s="9"/>
      <c r="C97" s="9"/>
      <c r="D97" s="9"/>
      <c r="E97" s="9"/>
      <c r="F97" s="9"/>
      <c r="G97" s="9"/>
      <c r="H97" s="9" t="str">
        <f t="shared" si="2"/>
        <v>SIN REVISAR</v>
      </c>
    </row>
    <row r="98" spans="1:8" x14ac:dyDescent="0.35">
      <c r="A98" s="8" t="s">
        <v>239</v>
      </c>
      <c r="B98" s="9"/>
      <c r="C98" s="9"/>
      <c r="D98" s="9"/>
      <c r="E98" s="9"/>
      <c r="F98" s="9"/>
      <c r="G98" s="9"/>
      <c r="H98" s="9" t="str">
        <f t="shared" ref="H98:H129" si="3">IF(F98="Sí","FUERA DE SERVICIO",IF(AND(B98="Sí",C98="Sí",D98="Sí",E98="Sí"),"COMPLETO",IF(COUNTIF(B98:E98,"Sí")&gt;0,"EN PROCESO","SIN REVISAR")))</f>
        <v>SIN REVISAR</v>
      </c>
    </row>
    <row r="99" spans="1:8" x14ac:dyDescent="0.35">
      <c r="A99" s="8" t="s">
        <v>240</v>
      </c>
      <c r="B99" s="9"/>
      <c r="C99" s="9"/>
      <c r="D99" s="9"/>
      <c r="E99" s="9"/>
      <c r="F99" s="9"/>
      <c r="G99" s="9"/>
      <c r="H99" s="9" t="str">
        <f t="shared" si="3"/>
        <v>SIN REVISAR</v>
      </c>
    </row>
    <row r="100" spans="1:8" x14ac:dyDescent="0.35">
      <c r="A100" s="8" t="s">
        <v>241</v>
      </c>
      <c r="B100" s="9"/>
      <c r="C100" s="9"/>
      <c r="D100" s="9"/>
      <c r="E100" s="9"/>
      <c r="F100" s="9"/>
      <c r="G100" s="9"/>
      <c r="H100" s="9" t="str">
        <f t="shared" si="3"/>
        <v>SIN REVISAR</v>
      </c>
    </row>
    <row r="101" spans="1:8" x14ac:dyDescent="0.35">
      <c r="A101" s="8" t="s">
        <v>242</v>
      </c>
      <c r="B101" s="9"/>
      <c r="C101" s="9"/>
      <c r="D101" s="9"/>
      <c r="E101" s="9"/>
      <c r="F101" s="9"/>
      <c r="G101" s="9"/>
      <c r="H101" s="9" t="str">
        <f t="shared" si="3"/>
        <v>SIN REVISAR</v>
      </c>
    </row>
    <row r="102" spans="1:8" x14ac:dyDescent="0.35">
      <c r="A102" s="8" t="s">
        <v>243</v>
      </c>
      <c r="B102" s="9"/>
      <c r="C102" s="9"/>
      <c r="D102" s="9"/>
      <c r="E102" s="9"/>
      <c r="F102" s="9"/>
      <c r="G102" s="9"/>
      <c r="H102" s="9" t="str">
        <f t="shared" si="3"/>
        <v>SIN REVISAR</v>
      </c>
    </row>
    <row r="103" spans="1:8" x14ac:dyDescent="0.35">
      <c r="A103" s="8" t="s">
        <v>244</v>
      </c>
      <c r="B103" s="9"/>
      <c r="C103" s="9"/>
      <c r="D103" s="9"/>
      <c r="E103" s="9"/>
      <c r="F103" s="9"/>
      <c r="G103" s="9"/>
      <c r="H103" s="9" t="str">
        <f t="shared" si="3"/>
        <v>SIN REVISAR</v>
      </c>
    </row>
    <row r="104" spans="1:8" x14ac:dyDescent="0.35">
      <c r="A104" s="8" t="s">
        <v>245</v>
      </c>
      <c r="B104" s="9"/>
      <c r="C104" s="9"/>
      <c r="D104" s="9"/>
      <c r="E104" s="9"/>
      <c r="F104" s="9"/>
      <c r="G104" s="9"/>
      <c r="H104" s="9" t="str">
        <f t="shared" si="3"/>
        <v>SIN REVISAR</v>
      </c>
    </row>
    <row r="105" spans="1:8" x14ac:dyDescent="0.35">
      <c r="A105" s="8" t="s">
        <v>246</v>
      </c>
      <c r="B105" s="9"/>
      <c r="C105" s="9"/>
      <c r="D105" s="9"/>
      <c r="E105" s="9"/>
      <c r="F105" s="9"/>
      <c r="G105" s="9"/>
      <c r="H105" s="9" t="str">
        <f t="shared" si="3"/>
        <v>SIN REVISAR</v>
      </c>
    </row>
    <row r="106" spans="1:8" x14ac:dyDescent="0.35">
      <c r="A106" s="8" t="s">
        <v>247</v>
      </c>
      <c r="B106" s="9"/>
      <c r="C106" s="9"/>
      <c r="D106" s="9"/>
      <c r="E106" s="9"/>
      <c r="F106" s="9"/>
      <c r="G106" s="9"/>
      <c r="H106" s="9" t="str">
        <f t="shared" si="3"/>
        <v>SIN REVISAR</v>
      </c>
    </row>
    <row r="107" spans="1:8" x14ac:dyDescent="0.35">
      <c r="A107" s="8" t="s">
        <v>248</v>
      </c>
      <c r="B107" s="9"/>
      <c r="C107" s="9"/>
      <c r="D107" s="9"/>
      <c r="E107" s="9"/>
      <c r="F107" s="9"/>
      <c r="G107" s="9"/>
      <c r="H107" s="9" t="str">
        <f t="shared" si="3"/>
        <v>SIN REVISAR</v>
      </c>
    </row>
    <row r="108" spans="1:8" x14ac:dyDescent="0.35">
      <c r="A108" s="8" t="s">
        <v>249</v>
      </c>
      <c r="B108" s="9"/>
      <c r="C108" s="9"/>
      <c r="D108" s="9"/>
      <c r="E108" s="9"/>
      <c r="F108" s="9"/>
      <c r="G108" s="9"/>
      <c r="H108" s="9" t="str">
        <f t="shared" si="3"/>
        <v>SIN REVISAR</v>
      </c>
    </row>
    <row r="109" spans="1:8" x14ac:dyDescent="0.35">
      <c r="A109" s="8" t="s">
        <v>250</v>
      </c>
      <c r="B109" s="9"/>
      <c r="C109" s="9"/>
      <c r="D109" s="9"/>
      <c r="E109" s="9"/>
      <c r="F109" s="9"/>
      <c r="G109" s="9"/>
      <c r="H109" s="9" t="str">
        <f t="shared" si="3"/>
        <v>SIN REVISAR</v>
      </c>
    </row>
    <row r="110" spans="1:8" x14ac:dyDescent="0.35">
      <c r="A110" s="8" t="s">
        <v>251</v>
      </c>
      <c r="B110" s="9"/>
      <c r="C110" s="9"/>
      <c r="D110" s="9"/>
      <c r="E110" s="9"/>
      <c r="F110" s="9"/>
      <c r="G110" s="9"/>
      <c r="H110" s="9" t="str">
        <f t="shared" si="3"/>
        <v>SIN REVISAR</v>
      </c>
    </row>
    <row r="111" spans="1:8" x14ac:dyDescent="0.35">
      <c r="A111" s="8" t="s">
        <v>252</v>
      </c>
      <c r="B111" s="9"/>
      <c r="C111" s="9"/>
      <c r="D111" s="9"/>
      <c r="E111" s="9"/>
      <c r="F111" s="9"/>
      <c r="G111" s="9"/>
      <c r="H111" s="9" t="str">
        <f t="shared" si="3"/>
        <v>SIN REVISAR</v>
      </c>
    </row>
    <row r="112" spans="1:8" x14ac:dyDescent="0.35">
      <c r="A112" s="8" t="s">
        <v>253</v>
      </c>
      <c r="B112" s="9"/>
      <c r="C112" s="9"/>
      <c r="D112" s="9"/>
      <c r="E112" s="9"/>
      <c r="F112" s="9"/>
      <c r="G112" s="9"/>
      <c r="H112" s="9" t="str">
        <f t="shared" si="3"/>
        <v>SIN REVISAR</v>
      </c>
    </row>
    <row r="113" spans="1:8" x14ac:dyDescent="0.35">
      <c r="A113" s="8" t="s">
        <v>254</v>
      </c>
      <c r="B113" s="9"/>
      <c r="C113" s="9"/>
      <c r="D113" s="9"/>
      <c r="E113" s="9"/>
      <c r="F113" s="9"/>
      <c r="G113" s="9"/>
      <c r="H113" s="9" t="str">
        <f t="shared" si="3"/>
        <v>SIN REVISAR</v>
      </c>
    </row>
    <row r="114" spans="1:8" x14ac:dyDescent="0.35">
      <c r="A114" s="8" t="s">
        <v>255</v>
      </c>
      <c r="B114" s="9"/>
      <c r="C114" s="9"/>
      <c r="D114" s="9"/>
      <c r="E114" s="9"/>
      <c r="F114" s="9"/>
      <c r="G114" s="9"/>
      <c r="H114" s="9" t="str">
        <f t="shared" si="3"/>
        <v>SIN REVISAR</v>
      </c>
    </row>
    <row r="115" spans="1:8" x14ac:dyDescent="0.35">
      <c r="A115" s="8" t="s">
        <v>256</v>
      </c>
      <c r="B115" s="9"/>
      <c r="C115" s="9"/>
      <c r="D115" s="9"/>
      <c r="E115" s="9"/>
      <c r="F115" s="9"/>
      <c r="G115" s="9"/>
      <c r="H115" s="9" t="str">
        <f t="shared" si="3"/>
        <v>SIN REVISAR</v>
      </c>
    </row>
    <row r="116" spans="1:8" x14ac:dyDescent="0.35">
      <c r="A116" s="8" t="s">
        <v>257</v>
      </c>
      <c r="B116" s="9"/>
      <c r="C116" s="9"/>
      <c r="D116" s="9"/>
      <c r="E116" s="9"/>
      <c r="F116" s="9"/>
      <c r="G116" s="9"/>
      <c r="H116" s="9" t="str">
        <f t="shared" si="3"/>
        <v>SIN REVISAR</v>
      </c>
    </row>
    <row r="117" spans="1:8" x14ac:dyDescent="0.35">
      <c r="A117" s="8" t="s">
        <v>258</v>
      </c>
      <c r="B117" s="9"/>
      <c r="C117" s="9"/>
      <c r="D117" s="9"/>
      <c r="E117" s="9"/>
      <c r="F117" s="9"/>
      <c r="G117" s="9"/>
      <c r="H117" s="9" t="str">
        <f t="shared" si="3"/>
        <v>SIN REVISAR</v>
      </c>
    </row>
    <row r="118" spans="1:8" x14ac:dyDescent="0.35">
      <c r="A118" s="8" t="s">
        <v>259</v>
      </c>
      <c r="B118" s="9"/>
      <c r="C118" s="9"/>
      <c r="D118" s="9"/>
      <c r="E118" s="9"/>
      <c r="F118" s="9"/>
      <c r="G118" s="9"/>
      <c r="H118" s="9" t="str">
        <f t="shared" si="3"/>
        <v>SIN REVISAR</v>
      </c>
    </row>
    <row r="119" spans="1:8" x14ac:dyDescent="0.35">
      <c r="A119" s="8" t="s">
        <v>260</v>
      </c>
      <c r="B119" s="9"/>
      <c r="C119" s="9"/>
      <c r="D119" s="9"/>
      <c r="E119" s="9"/>
      <c r="F119" s="9"/>
      <c r="G119" s="9"/>
      <c r="H119" s="9" t="str">
        <f t="shared" si="3"/>
        <v>SIN REVISAR</v>
      </c>
    </row>
    <row r="120" spans="1:8" x14ac:dyDescent="0.35">
      <c r="A120" s="8" t="s">
        <v>261</v>
      </c>
      <c r="B120" s="9"/>
      <c r="C120" s="9"/>
      <c r="D120" s="9"/>
      <c r="E120" s="9"/>
      <c r="F120" s="9"/>
      <c r="G120" s="9"/>
      <c r="H120" s="9" t="str">
        <f t="shared" si="3"/>
        <v>SIN REVISAR</v>
      </c>
    </row>
    <row r="121" spans="1:8" x14ac:dyDescent="0.35">
      <c r="A121" s="8" t="s">
        <v>262</v>
      </c>
      <c r="B121" s="9"/>
      <c r="C121" s="9"/>
      <c r="D121" s="9"/>
      <c r="E121" s="9"/>
      <c r="F121" s="9"/>
      <c r="G121" s="9"/>
      <c r="H121" s="9" t="str">
        <f t="shared" si="3"/>
        <v>SIN REVISAR</v>
      </c>
    </row>
    <row r="122" spans="1:8" x14ac:dyDescent="0.35">
      <c r="A122" s="8" t="s">
        <v>263</v>
      </c>
      <c r="B122" s="9"/>
      <c r="C122" s="9"/>
      <c r="D122" s="9"/>
      <c r="E122" s="9"/>
      <c r="F122" s="9"/>
      <c r="G122" s="9"/>
      <c r="H122" s="9" t="str">
        <f t="shared" si="3"/>
        <v>SIN REVISAR</v>
      </c>
    </row>
    <row r="123" spans="1:8" x14ac:dyDescent="0.35">
      <c r="A123" s="8" t="s">
        <v>264</v>
      </c>
      <c r="B123" s="9"/>
      <c r="C123" s="9"/>
      <c r="D123" s="9"/>
      <c r="E123" s="9"/>
      <c r="F123" s="9"/>
      <c r="G123" s="9"/>
      <c r="H123" s="9" t="str">
        <f t="shared" si="3"/>
        <v>SIN REVISAR</v>
      </c>
    </row>
    <row r="124" spans="1:8" x14ac:dyDescent="0.35">
      <c r="A124" s="8" t="s">
        <v>36</v>
      </c>
      <c r="B124" s="9"/>
      <c r="C124" s="9"/>
      <c r="D124" s="9"/>
      <c r="E124" s="9"/>
      <c r="F124" s="9"/>
      <c r="G124" s="9"/>
      <c r="H124" s="9" t="str">
        <f t="shared" si="3"/>
        <v>SIN REVISAR</v>
      </c>
    </row>
    <row r="125" spans="1:8" x14ac:dyDescent="0.35">
      <c r="A125" s="8" t="s">
        <v>260</v>
      </c>
      <c r="B125" s="9"/>
      <c r="C125" s="9"/>
      <c r="D125" s="9"/>
      <c r="E125" s="9"/>
      <c r="F125" s="9"/>
      <c r="G125" s="9"/>
      <c r="H125" s="9" t="str">
        <f t="shared" si="3"/>
        <v>SIN REVISAR</v>
      </c>
    </row>
    <row r="126" spans="1:8" x14ac:dyDescent="0.35">
      <c r="A126" s="8" t="s">
        <v>261</v>
      </c>
      <c r="B126" s="9"/>
      <c r="C126" s="9"/>
      <c r="D126" s="9"/>
      <c r="E126" s="9"/>
      <c r="F126" s="9"/>
      <c r="G126" s="9"/>
      <c r="H126" s="9" t="str">
        <f t="shared" si="3"/>
        <v>SIN REVISAR</v>
      </c>
    </row>
    <row r="127" spans="1:8" x14ac:dyDescent="0.35">
      <c r="A127" s="8" t="s">
        <v>242</v>
      </c>
      <c r="B127" s="9"/>
      <c r="C127" s="9"/>
      <c r="D127" s="9"/>
      <c r="E127" s="9"/>
      <c r="F127" s="9"/>
      <c r="G127" s="9"/>
      <c r="H127" s="9" t="str">
        <f t="shared" si="3"/>
        <v>SIN REVISAR</v>
      </c>
    </row>
    <row r="128" spans="1:8" x14ac:dyDescent="0.35">
      <c r="A128" s="8" t="s">
        <v>265</v>
      </c>
      <c r="B128" s="9"/>
      <c r="C128" s="9"/>
      <c r="D128" s="9"/>
      <c r="E128" s="9"/>
      <c r="F128" s="9"/>
      <c r="G128" s="9"/>
      <c r="H128" s="9" t="str">
        <f t="shared" si="3"/>
        <v>SIN REVISAR</v>
      </c>
    </row>
    <row r="129" spans="1:8" x14ac:dyDescent="0.35">
      <c r="A129" s="8" t="s">
        <v>263</v>
      </c>
      <c r="B129" s="9"/>
      <c r="C129" s="9"/>
      <c r="D129" s="9"/>
      <c r="E129" s="9"/>
      <c r="F129" s="9"/>
      <c r="G129" s="9"/>
      <c r="H129" s="9" t="str">
        <f t="shared" si="3"/>
        <v>SIN REVISAR</v>
      </c>
    </row>
  </sheetData>
  <dataValidations count="1">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xr:uid="{00000000-0002-0000-0100-000000000000}">
      <formula1>"Sí,No"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499984740745262"/>
  </sheetPr>
  <dimension ref="A1:H126"/>
  <sheetViews>
    <sheetView zoomScale="90" zoomScaleNormal="90" workbookViewId="0">
      <selection activeCell="I9" sqref="I9"/>
    </sheetView>
  </sheetViews>
  <sheetFormatPr baseColWidth="10" defaultRowHeight="14.5" x14ac:dyDescent="0.35"/>
  <cols>
    <col min="1" max="1" width="9.08984375" bestFit="1" customWidth="1"/>
    <col min="2" max="2" width="19.6328125" bestFit="1" customWidth="1"/>
    <col min="3" max="3" width="19.36328125" bestFit="1" customWidth="1"/>
    <col min="4" max="4" width="20" bestFit="1" customWidth="1"/>
    <col min="5" max="5" width="11.1796875" bestFit="1" customWidth="1"/>
    <col min="6" max="6" width="21.1796875" bestFit="1" customWidth="1"/>
    <col min="7" max="7" width="48.81640625" customWidth="1"/>
    <col min="8" max="8" width="13.6328125" bestFit="1" customWidth="1"/>
  </cols>
  <sheetData>
    <row r="1" spans="1:8" x14ac:dyDescent="0.35">
      <c r="A1" s="7" t="s">
        <v>9</v>
      </c>
      <c r="B1" s="7" t="s">
        <v>10</v>
      </c>
      <c r="C1" s="7" t="s">
        <v>11</v>
      </c>
      <c r="D1" s="7" t="s">
        <v>12</v>
      </c>
      <c r="E1" s="7" t="s">
        <v>13</v>
      </c>
      <c r="F1" s="7" t="s">
        <v>14</v>
      </c>
      <c r="G1" s="7" t="s">
        <v>15</v>
      </c>
      <c r="H1" s="8" t="s">
        <v>16</v>
      </c>
    </row>
    <row r="2" spans="1:8" x14ac:dyDescent="0.35">
      <c r="A2" s="8" t="s">
        <v>266</v>
      </c>
      <c r="B2" s="9"/>
      <c r="C2" s="9"/>
      <c r="D2" s="9"/>
      <c r="E2" s="9"/>
      <c r="F2" s="9"/>
      <c r="G2" s="9"/>
      <c r="H2" s="9" t="str">
        <f t="shared" ref="H2:H33" si="0">IF(F2="Sí","FUERA DE SERVICIO",IF(AND(B2="Sí",C2="Sí",D2="Sí",E2="Sí"),"COMPLETO",IF(COUNTIF(B2:E2,"Sí")&gt;0,"EN PROCESO","SIN REVISAR")))</f>
        <v>SIN REVISAR</v>
      </c>
    </row>
    <row r="3" spans="1:8" x14ac:dyDescent="0.35">
      <c r="A3" s="8" t="s">
        <v>267</v>
      </c>
      <c r="B3" s="9"/>
      <c r="C3" s="9"/>
      <c r="D3" s="9"/>
      <c r="E3" s="9"/>
      <c r="F3" s="9"/>
      <c r="G3" s="9"/>
      <c r="H3" s="9" t="str">
        <f t="shared" si="0"/>
        <v>SIN REVISAR</v>
      </c>
    </row>
    <row r="4" spans="1:8" x14ac:dyDescent="0.35">
      <c r="A4" s="8" t="s">
        <v>268</v>
      </c>
      <c r="B4" s="9"/>
      <c r="C4" s="9"/>
      <c r="D4" s="9"/>
      <c r="E4" s="9"/>
      <c r="F4" s="9"/>
      <c r="G4" s="9"/>
      <c r="H4" s="9" t="str">
        <f t="shared" si="0"/>
        <v>SIN REVISAR</v>
      </c>
    </row>
    <row r="5" spans="1:8" x14ac:dyDescent="0.35">
      <c r="A5" s="8" t="s">
        <v>269</v>
      </c>
      <c r="B5" s="9"/>
      <c r="C5" s="9"/>
      <c r="D5" s="9"/>
      <c r="E5" s="9"/>
      <c r="F5" s="9"/>
      <c r="G5" s="9"/>
      <c r="H5" s="9" t="str">
        <f t="shared" si="0"/>
        <v>SIN REVISAR</v>
      </c>
    </row>
    <row r="6" spans="1:8" x14ac:dyDescent="0.35">
      <c r="A6" s="8" t="s">
        <v>270</v>
      </c>
      <c r="B6" s="9"/>
      <c r="C6" s="9"/>
      <c r="D6" s="9"/>
      <c r="E6" s="9"/>
      <c r="F6" s="9"/>
      <c r="G6" s="9"/>
      <c r="H6" s="9" t="str">
        <f t="shared" si="0"/>
        <v>SIN REVISAR</v>
      </c>
    </row>
    <row r="7" spans="1:8" x14ac:dyDescent="0.35">
      <c r="A7" s="8" t="s">
        <v>271</v>
      </c>
      <c r="B7" s="9"/>
      <c r="C7" s="9"/>
      <c r="D7" s="9"/>
      <c r="E7" s="9"/>
      <c r="F7" s="9"/>
      <c r="G7" s="9"/>
      <c r="H7" s="9" t="str">
        <f t="shared" si="0"/>
        <v>SIN REVISAR</v>
      </c>
    </row>
    <row r="8" spans="1:8" x14ac:dyDescent="0.35">
      <c r="A8" s="8" t="s">
        <v>272</v>
      </c>
      <c r="B8" s="9"/>
      <c r="C8" s="9"/>
      <c r="D8" s="9"/>
      <c r="E8" s="9"/>
      <c r="F8" s="9"/>
      <c r="G8" s="9"/>
      <c r="H8" s="9" t="str">
        <f t="shared" si="0"/>
        <v>SIN REVISAR</v>
      </c>
    </row>
    <row r="9" spans="1:8" x14ac:dyDescent="0.35">
      <c r="A9" s="8" t="s">
        <v>273</v>
      </c>
      <c r="B9" s="9"/>
      <c r="C9" s="9"/>
      <c r="D9" s="9"/>
      <c r="E9" s="9"/>
      <c r="F9" s="9"/>
      <c r="G9" s="9"/>
      <c r="H9" s="9" t="str">
        <f t="shared" si="0"/>
        <v>SIN REVISAR</v>
      </c>
    </row>
    <row r="10" spans="1:8" x14ac:dyDescent="0.35">
      <c r="A10" s="8" t="s">
        <v>274</v>
      </c>
      <c r="B10" s="9"/>
      <c r="C10" s="9"/>
      <c r="D10" s="9"/>
      <c r="E10" s="9"/>
      <c r="F10" s="9"/>
      <c r="G10" s="9"/>
      <c r="H10" s="9" t="str">
        <f t="shared" si="0"/>
        <v>SIN REVISAR</v>
      </c>
    </row>
    <row r="11" spans="1:8" x14ac:dyDescent="0.35">
      <c r="A11" s="8" t="s">
        <v>275</v>
      </c>
      <c r="B11" s="9"/>
      <c r="C11" s="9"/>
      <c r="D11" s="9"/>
      <c r="E11" s="9"/>
      <c r="F11" s="9"/>
      <c r="G11" s="9"/>
      <c r="H11" s="9" t="str">
        <f t="shared" si="0"/>
        <v>SIN REVISAR</v>
      </c>
    </row>
    <row r="12" spans="1:8" x14ac:dyDescent="0.35">
      <c r="A12" s="8" t="s">
        <v>276</v>
      </c>
      <c r="B12" s="9"/>
      <c r="C12" s="9"/>
      <c r="D12" s="9"/>
      <c r="E12" s="9"/>
      <c r="F12" s="9"/>
      <c r="G12" s="9"/>
      <c r="H12" s="9" t="str">
        <f t="shared" si="0"/>
        <v>SIN REVISAR</v>
      </c>
    </row>
    <row r="13" spans="1:8" x14ac:dyDescent="0.35">
      <c r="A13" s="8" t="s">
        <v>277</v>
      </c>
      <c r="B13" s="9"/>
      <c r="C13" s="9"/>
      <c r="D13" s="9"/>
      <c r="E13" s="9"/>
      <c r="F13" s="9"/>
      <c r="G13" s="9"/>
      <c r="H13" s="9" t="str">
        <f t="shared" si="0"/>
        <v>SIN REVISAR</v>
      </c>
    </row>
    <row r="14" spans="1:8" x14ac:dyDescent="0.35">
      <c r="A14" s="8" t="s">
        <v>278</v>
      </c>
      <c r="B14" s="9"/>
      <c r="C14" s="9"/>
      <c r="D14" s="9"/>
      <c r="E14" s="9"/>
      <c r="F14" s="9"/>
      <c r="G14" s="9"/>
      <c r="H14" s="9" t="str">
        <f t="shared" si="0"/>
        <v>SIN REVISAR</v>
      </c>
    </row>
    <row r="15" spans="1:8" x14ac:dyDescent="0.35">
      <c r="A15" s="8" t="s">
        <v>279</v>
      </c>
      <c r="B15" s="9"/>
      <c r="C15" s="9"/>
      <c r="D15" s="9"/>
      <c r="E15" s="9"/>
      <c r="F15" s="9"/>
      <c r="G15" s="9"/>
      <c r="H15" s="9" t="str">
        <f t="shared" si="0"/>
        <v>SIN REVISAR</v>
      </c>
    </row>
    <row r="16" spans="1:8" x14ac:dyDescent="0.35">
      <c r="A16" s="8" t="s">
        <v>280</v>
      </c>
      <c r="B16" s="9"/>
      <c r="C16" s="9"/>
      <c r="D16" s="9"/>
      <c r="E16" s="9"/>
      <c r="F16" s="9"/>
      <c r="G16" s="9"/>
      <c r="H16" s="9" t="str">
        <f t="shared" si="0"/>
        <v>SIN REVISAR</v>
      </c>
    </row>
    <row r="17" spans="1:8" x14ac:dyDescent="0.35">
      <c r="A17" s="8" t="s">
        <v>280</v>
      </c>
      <c r="B17" s="9"/>
      <c r="C17" s="9"/>
      <c r="D17" s="9"/>
      <c r="E17" s="9"/>
      <c r="F17" s="9"/>
      <c r="G17" s="9"/>
      <c r="H17" s="9" t="str">
        <f t="shared" si="0"/>
        <v>SIN REVISAR</v>
      </c>
    </row>
    <row r="18" spans="1:8" x14ac:dyDescent="0.35">
      <c r="A18" s="8" t="s">
        <v>281</v>
      </c>
      <c r="B18" s="9"/>
      <c r="C18" s="9"/>
      <c r="D18" s="9"/>
      <c r="E18" s="9"/>
      <c r="F18" s="9"/>
      <c r="G18" s="9"/>
      <c r="H18" s="9" t="str">
        <f t="shared" si="0"/>
        <v>SIN REVISAR</v>
      </c>
    </row>
    <row r="19" spans="1:8" x14ac:dyDescent="0.35">
      <c r="A19" s="8" t="s">
        <v>282</v>
      </c>
      <c r="B19" s="9"/>
      <c r="C19" s="9"/>
      <c r="D19" s="9"/>
      <c r="E19" s="9"/>
      <c r="F19" s="9"/>
      <c r="G19" s="9"/>
      <c r="H19" s="9" t="str">
        <f t="shared" si="0"/>
        <v>SIN REVISAR</v>
      </c>
    </row>
    <row r="20" spans="1:8" x14ac:dyDescent="0.35">
      <c r="A20" s="8" t="s">
        <v>283</v>
      </c>
      <c r="B20" s="9"/>
      <c r="C20" s="9"/>
      <c r="D20" s="9"/>
      <c r="E20" s="9"/>
      <c r="F20" s="9"/>
      <c r="G20" s="9"/>
      <c r="H20" s="9" t="str">
        <f t="shared" si="0"/>
        <v>SIN REVISAR</v>
      </c>
    </row>
    <row r="21" spans="1:8" x14ac:dyDescent="0.35">
      <c r="A21" s="8" t="s">
        <v>284</v>
      </c>
      <c r="B21" s="9"/>
      <c r="C21" s="9"/>
      <c r="D21" s="9"/>
      <c r="E21" s="9"/>
      <c r="F21" s="9"/>
      <c r="G21" s="9"/>
      <c r="H21" s="9" t="str">
        <f t="shared" si="0"/>
        <v>SIN REVISAR</v>
      </c>
    </row>
    <row r="22" spans="1:8" x14ac:dyDescent="0.35">
      <c r="A22" s="8" t="s">
        <v>285</v>
      </c>
      <c r="B22" s="9"/>
      <c r="C22" s="9"/>
      <c r="D22" s="9"/>
      <c r="E22" s="9"/>
      <c r="F22" s="9"/>
      <c r="G22" s="9"/>
      <c r="H22" s="9" t="str">
        <f t="shared" si="0"/>
        <v>SIN REVISAR</v>
      </c>
    </row>
    <row r="23" spans="1:8" x14ac:dyDescent="0.35">
      <c r="A23" s="8" t="s">
        <v>286</v>
      </c>
      <c r="B23" s="9"/>
      <c r="C23" s="9"/>
      <c r="D23" s="9"/>
      <c r="E23" s="9"/>
      <c r="F23" s="9"/>
      <c r="G23" s="9"/>
      <c r="H23" s="9" t="str">
        <f t="shared" si="0"/>
        <v>SIN REVISAR</v>
      </c>
    </row>
    <row r="24" spans="1:8" x14ac:dyDescent="0.35">
      <c r="A24" s="8" t="s">
        <v>287</v>
      </c>
      <c r="B24" s="9"/>
      <c r="C24" s="9"/>
      <c r="D24" s="9"/>
      <c r="E24" s="9"/>
      <c r="F24" s="9"/>
      <c r="G24" s="9"/>
      <c r="H24" s="9" t="str">
        <f t="shared" si="0"/>
        <v>SIN REVISAR</v>
      </c>
    </row>
    <row r="25" spans="1:8" x14ac:dyDescent="0.35">
      <c r="A25" s="8" t="s">
        <v>265</v>
      </c>
      <c r="B25" s="9"/>
      <c r="C25" s="9"/>
      <c r="D25" s="9"/>
      <c r="E25" s="9"/>
      <c r="F25" s="9"/>
      <c r="G25" s="9"/>
      <c r="H25" s="9" t="str">
        <f t="shared" si="0"/>
        <v>SIN REVISAR</v>
      </c>
    </row>
    <row r="26" spans="1:8" x14ac:dyDescent="0.35">
      <c r="A26" s="8" t="s">
        <v>288</v>
      </c>
      <c r="B26" s="9"/>
      <c r="C26" s="9"/>
      <c r="D26" s="9"/>
      <c r="E26" s="9"/>
      <c r="F26" s="9"/>
      <c r="G26" s="9"/>
      <c r="H26" s="9" t="str">
        <f t="shared" si="0"/>
        <v>SIN REVISAR</v>
      </c>
    </row>
    <row r="27" spans="1:8" x14ac:dyDescent="0.35">
      <c r="A27" s="8" t="s">
        <v>289</v>
      </c>
      <c r="B27" s="9"/>
      <c r="C27" s="9"/>
      <c r="D27" s="9"/>
      <c r="E27" s="9"/>
      <c r="F27" s="9"/>
      <c r="G27" s="9"/>
      <c r="H27" s="9" t="str">
        <f t="shared" si="0"/>
        <v>SIN REVISAR</v>
      </c>
    </row>
    <row r="28" spans="1:8" x14ac:dyDescent="0.35">
      <c r="A28" s="8" t="s">
        <v>290</v>
      </c>
      <c r="B28" s="9"/>
      <c r="C28" s="9"/>
      <c r="D28" s="9"/>
      <c r="E28" s="9"/>
      <c r="F28" s="9"/>
      <c r="G28" s="9"/>
      <c r="H28" s="9" t="str">
        <f t="shared" si="0"/>
        <v>SIN REVISAR</v>
      </c>
    </row>
    <row r="29" spans="1:8" x14ac:dyDescent="0.35">
      <c r="A29" s="8" t="s">
        <v>291</v>
      </c>
      <c r="B29" s="9"/>
      <c r="C29" s="9"/>
      <c r="D29" s="9"/>
      <c r="E29" s="9"/>
      <c r="F29" s="9"/>
      <c r="G29" s="9"/>
      <c r="H29" s="9" t="str">
        <f t="shared" si="0"/>
        <v>SIN REVISAR</v>
      </c>
    </row>
    <row r="30" spans="1:8" x14ac:dyDescent="0.35">
      <c r="A30" s="8" t="s">
        <v>292</v>
      </c>
      <c r="B30" s="9"/>
      <c r="C30" s="9"/>
      <c r="D30" s="9"/>
      <c r="E30" s="9"/>
      <c r="F30" s="9"/>
      <c r="G30" s="9"/>
      <c r="H30" s="9" t="str">
        <f t="shared" si="0"/>
        <v>SIN REVISAR</v>
      </c>
    </row>
    <row r="31" spans="1:8" x14ac:dyDescent="0.35">
      <c r="A31" s="8" t="s">
        <v>293</v>
      </c>
      <c r="B31" s="9"/>
      <c r="C31" s="9"/>
      <c r="D31" s="9"/>
      <c r="E31" s="9"/>
      <c r="F31" s="9"/>
      <c r="G31" s="9"/>
      <c r="H31" s="9" t="str">
        <f t="shared" si="0"/>
        <v>SIN REVISAR</v>
      </c>
    </row>
    <row r="32" spans="1:8" x14ac:dyDescent="0.35">
      <c r="A32" s="8" t="s">
        <v>294</v>
      </c>
      <c r="B32" s="9"/>
      <c r="C32" s="9"/>
      <c r="D32" s="9"/>
      <c r="E32" s="9"/>
      <c r="F32" s="9"/>
      <c r="G32" s="9"/>
      <c r="H32" s="9" t="str">
        <f t="shared" si="0"/>
        <v>SIN REVISAR</v>
      </c>
    </row>
    <row r="33" spans="1:8" x14ac:dyDescent="0.35">
      <c r="A33" s="8" t="s">
        <v>295</v>
      </c>
      <c r="B33" s="9"/>
      <c r="C33" s="9"/>
      <c r="D33" s="9"/>
      <c r="E33" s="9"/>
      <c r="F33" s="9"/>
      <c r="G33" s="9"/>
      <c r="H33" s="9" t="str">
        <f t="shared" si="0"/>
        <v>SIN REVISAR</v>
      </c>
    </row>
    <row r="34" spans="1:8" x14ac:dyDescent="0.35">
      <c r="A34" s="8" t="s">
        <v>296</v>
      </c>
      <c r="B34" s="9"/>
      <c r="C34" s="9"/>
      <c r="D34" s="9"/>
      <c r="E34" s="9"/>
      <c r="F34" s="9"/>
      <c r="G34" s="9"/>
      <c r="H34" s="9" t="str">
        <f t="shared" ref="H34:H65" si="1">IF(F34="Sí","FUERA DE SERVICIO",IF(AND(B34="Sí",C34="Sí",D34="Sí",E34="Sí"),"COMPLETO",IF(COUNTIF(B34:E34,"Sí")&gt;0,"EN PROCESO","SIN REVISAR")))</f>
        <v>SIN REVISAR</v>
      </c>
    </row>
    <row r="35" spans="1:8" x14ac:dyDescent="0.35">
      <c r="A35" s="8" t="s">
        <v>297</v>
      </c>
      <c r="B35" s="9"/>
      <c r="C35" s="9"/>
      <c r="D35" s="9"/>
      <c r="E35" s="9"/>
      <c r="F35" s="9"/>
      <c r="G35" s="9"/>
      <c r="H35" s="9" t="str">
        <f t="shared" si="1"/>
        <v>SIN REVISAR</v>
      </c>
    </row>
    <row r="36" spans="1:8" x14ac:dyDescent="0.35">
      <c r="A36" s="8" t="s">
        <v>298</v>
      </c>
      <c r="B36" s="9"/>
      <c r="C36" s="9"/>
      <c r="D36" s="9"/>
      <c r="E36" s="9"/>
      <c r="F36" s="9"/>
      <c r="G36" s="9"/>
      <c r="H36" s="9" t="str">
        <f t="shared" si="1"/>
        <v>SIN REVISAR</v>
      </c>
    </row>
    <row r="37" spans="1:8" x14ac:dyDescent="0.35">
      <c r="A37" s="8" t="s">
        <v>299</v>
      </c>
      <c r="B37" s="9"/>
      <c r="C37" s="9"/>
      <c r="D37" s="9"/>
      <c r="E37" s="9"/>
      <c r="F37" s="9"/>
      <c r="G37" s="9"/>
      <c r="H37" s="9" t="str">
        <f t="shared" si="1"/>
        <v>SIN REVISAR</v>
      </c>
    </row>
    <row r="38" spans="1:8" x14ac:dyDescent="0.35">
      <c r="A38" s="8" t="s">
        <v>300</v>
      </c>
      <c r="B38" s="9"/>
      <c r="C38" s="9"/>
      <c r="D38" s="9"/>
      <c r="E38" s="9"/>
      <c r="F38" s="9"/>
      <c r="G38" s="9"/>
      <c r="H38" s="9" t="str">
        <f t="shared" si="1"/>
        <v>SIN REVISAR</v>
      </c>
    </row>
    <row r="39" spans="1:8" x14ac:dyDescent="0.35">
      <c r="A39" s="8" t="s">
        <v>301</v>
      </c>
      <c r="B39" s="9"/>
      <c r="C39" s="9"/>
      <c r="D39" s="9"/>
      <c r="E39" s="9"/>
      <c r="F39" s="9"/>
      <c r="G39" s="9"/>
      <c r="H39" s="9" t="str">
        <f t="shared" si="1"/>
        <v>SIN REVISAR</v>
      </c>
    </row>
    <row r="40" spans="1:8" x14ac:dyDescent="0.35">
      <c r="A40" s="8" t="s">
        <v>302</v>
      </c>
      <c r="B40" s="9"/>
      <c r="C40" s="9"/>
      <c r="D40" s="9"/>
      <c r="E40" s="9"/>
      <c r="F40" s="9"/>
      <c r="G40" s="9"/>
      <c r="H40" s="9" t="str">
        <f t="shared" si="1"/>
        <v>SIN REVISAR</v>
      </c>
    </row>
    <row r="41" spans="1:8" x14ac:dyDescent="0.35">
      <c r="A41" s="8" t="s">
        <v>303</v>
      </c>
      <c r="B41" s="9"/>
      <c r="C41" s="9"/>
      <c r="D41" s="9"/>
      <c r="E41" s="9"/>
      <c r="F41" s="9"/>
      <c r="G41" s="9"/>
      <c r="H41" s="9" t="str">
        <f t="shared" si="1"/>
        <v>SIN REVISAR</v>
      </c>
    </row>
    <row r="42" spans="1:8" x14ac:dyDescent="0.35">
      <c r="A42" s="8" t="s">
        <v>304</v>
      </c>
      <c r="B42" s="9"/>
      <c r="C42" s="9"/>
      <c r="D42" s="9"/>
      <c r="E42" s="9"/>
      <c r="F42" s="9"/>
      <c r="G42" s="9"/>
      <c r="H42" s="9" t="str">
        <f t="shared" si="1"/>
        <v>SIN REVISAR</v>
      </c>
    </row>
    <row r="43" spans="1:8" x14ac:dyDescent="0.35">
      <c r="A43" s="8" t="s">
        <v>305</v>
      </c>
      <c r="B43" s="9"/>
      <c r="C43" s="9"/>
      <c r="D43" s="9"/>
      <c r="E43" s="9"/>
      <c r="F43" s="9"/>
      <c r="G43" s="9"/>
      <c r="H43" s="9" t="str">
        <f t="shared" si="1"/>
        <v>SIN REVISAR</v>
      </c>
    </row>
    <row r="44" spans="1:8" x14ac:dyDescent="0.35">
      <c r="A44" s="8" t="s">
        <v>306</v>
      </c>
      <c r="B44" s="9"/>
      <c r="C44" s="9"/>
      <c r="D44" s="9"/>
      <c r="E44" s="9"/>
      <c r="F44" s="9"/>
      <c r="G44" s="9"/>
      <c r="H44" s="9" t="str">
        <f t="shared" si="1"/>
        <v>SIN REVISAR</v>
      </c>
    </row>
    <row r="45" spans="1:8" x14ac:dyDescent="0.35">
      <c r="A45" s="8" t="s">
        <v>307</v>
      </c>
      <c r="B45" s="9"/>
      <c r="C45" s="9"/>
      <c r="D45" s="9"/>
      <c r="E45" s="9"/>
      <c r="F45" s="9"/>
      <c r="G45" s="9"/>
      <c r="H45" s="9" t="str">
        <f t="shared" si="1"/>
        <v>SIN REVISAR</v>
      </c>
    </row>
    <row r="46" spans="1:8" x14ac:dyDescent="0.35">
      <c r="A46" s="8" t="s">
        <v>308</v>
      </c>
      <c r="B46" s="9"/>
      <c r="C46" s="9"/>
      <c r="D46" s="9"/>
      <c r="E46" s="9"/>
      <c r="F46" s="9"/>
      <c r="G46" s="9"/>
      <c r="H46" s="9" t="str">
        <f t="shared" si="1"/>
        <v>SIN REVISAR</v>
      </c>
    </row>
    <row r="47" spans="1:8" x14ac:dyDescent="0.35">
      <c r="A47" s="8" t="s">
        <v>309</v>
      </c>
      <c r="B47" s="9"/>
      <c r="C47" s="9"/>
      <c r="D47" s="9"/>
      <c r="E47" s="9"/>
      <c r="F47" s="9"/>
      <c r="G47" s="9"/>
      <c r="H47" s="9" t="str">
        <f t="shared" si="1"/>
        <v>SIN REVISAR</v>
      </c>
    </row>
    <row r="48" spans="1:8" x14ac:dyDescent="0.35">
      <c r="A48" s="8" t="s">
        <v>310</v>
      </c>
      <c r="B48" s="9"/>
      <c r="C48" s="9"/>
      <c r="D48" s="9"/>
      <c r="E48" s="9"/>
      <c r="F48" s="9"/>
      <c r="G48" s="9"/>
      <c r="H48" s="9" t="str">
        <f t="shared" si="1"/>
        <v>SIN REVISAR</v>
      </c>
    </row>
    <row r="49" spans="1:8" x14ac:dyDescent="0.35">
      <c r="A49" s="8" t="s">
        <v>311</v>
      </c>
      <c r="B49" s="9"/>
      <c r="C49" s="9"/>
      <c r="D49" s="9"/>
      <c r="E49" s="9"/>
      <c r="F49" s="9"/>
      <c r="G49" s="9"/>
      <c r="H49" s="9" t="str">
        <f t="shared" si="1"/>
        <v>SIN REVISAR</v>
      </c>
    </row>
    <row r="50" spans="1:8" x14ac:dyDescent="0.35">
      <c r="A50" s="8" t="s">
        <v>312</v>
      </c>
      <c r="B50" s="9"/>
      <c r="C50" s="9"/>
      <c r="D50" s="9"/>
      <c r="E50" s="9"/>
      <c r="F50" s="9"/>
      <c r="G50" s="9"/>
      <c r="H50" s="9" t="str">
        <f t="shared" si="1"/>
        <v>SIN REVISAR</v>
      </c>
    </row>
    <row r="51" spans="1:8" x14ac:dyDescent="0.35">
      <c r="A51" s="8" t="s">
        <v>313</v>
      </c>
      <c r="B51" s="9"/>
      <c r="C51" s="9"/>
      <c r="D51" s="9"/>
      <c r="E51" s="9"/>
      <c r="F51" s="9"/>
      <c r="G51" s="9"/>
      <c r="H51" s="9" t="str">
        <f t="shared" si="1"/>
        <v>SIN REVISAR</v>
      </c>
    </row>
    <row r="52" spans="1:8" x14ac:dyDescent="0.35">
      <c r="A52" s="8" t="s">
        <v>314</v>
      </c>
      <c r="B52" s="9"/>
      <c r="C52" s="9"/>
      <c r="D52" s="9"/>
      <c r="E52" s="9"/>
      <c r="F52" s="9"/>
      <c r="G52" s="9"/>
      <c r="H52" s="9" t="str">
        <f t="shared" si="1"/>
        <v>SIN REVISAR</v>
      </c>
    </row>
    <row r="53" spans="1:8" x14ac:dyDescent="0.35">
      <c r="A53" s="8" t="s">
        <v>315</v>
      </c>
      <c r="B53" s="9"/>
      <c r="C53" s="9"/>
      <c r="D53" s="9"/>
      <c r="E53" s="9"/>
      <c r="F53" s="9"/>
      <c r="G53" s="9"/>
      <c r="H53" s="9" t="str">
        <f t="shared" si="1"/>
        <v>SIN REVISAR</v>
      </c>
    </row>
    <row r="54" spans="1:8" x14ac:dyDescent="0.35">
      <c r="A54" s="8" t="s">
        <v>316</v>
      </c>
      <c r="B54" s="9"/>
      <c r="C54" s="9"/>
      <c r="D54" s="9"/>
      <c r="E54" s="9"/>
      <c r="F54" s="9"/>
      <c r="G54" s="9"/>
      <c r="H54" s="9" t="str">
        <f t="shared" si="1"/>
        <v>SIN REVISAR</v>
      </c>
    </row>
    <row r="55" spans="1:8" x14ac:dyDescent="0.35">
      <c r="A55" s="8" t="s">
        <v>317</v>
      </c>
      <c r="B55" s="9"/>
      <c r="C55" s="9"/>
      <c r="D55" s="9"/>
      <c r="E55" s="9"/>
      <c r="F55" s="9"/>
      <c r="G55" s="9"/>
      <c r="H55" s="9" t="str">
        <f t="shared" si="1"/>
        <v>SIN REVISAR</v>
      </c>
    </row>
    <row r="56" spans="1:8" x14ac:dyDescent="0.35">
      <c r="A56" s="8" t="s">
        <v>318</v>
      </c>
      <c r="B56" s="9"/>
      <c r="C56" s="9"/>
      <c r="D56" s="9"/>
      <c r="E56" s="9"/>
      <c r="F56" s="9"/>
      <c r="G56" s="9"/>
      <c r="H56" s="9" t="str">
        <f t="shared" si="1"/>
        <v>SIN REVISAR</v>
      </c>
    </row>
    <row r="57" spans="1:8" x14ac:dyDescent="0.35">
      <c r="A57" s="8" t="s">
        <v>319</v>
      </c>
      <c r="B57" s="9"/>
      <c r="C57" s="9"/>
      <c r="D57" s="9"/>
      <c r="E57" s="9"/>
      <c r="F57" s="9"/>
      <c r="G57" s="9"/>
      <c r="H57" s="9" t="str">
        <f t="shared" si="1"/>
        <v>SIN REVISAR</v>
      </c>
    </row>
    <row r="58" spans="1:8" x14ac:dyDescent="0.35">
      <c r="A58" s="8" t="s">
        <v>320</v>
      </c>
      <c r="B58" s="9"/>
      <c r="C58" s="9"/>
      <c r="D58" s="9"/>
      <c r="E58" s="9"/>
      <c r="F58" s="9"/>
      <c r="G58" s="9"/>
      <c r="H58" s="9" t="str">
        <f t="shared" si="1"/>
        <v>SIN REVISAR</v>
      </c>
    </row>
    <row r="59" spans="1:8" x14ac:dyDescent="0.35">
      <c r="A59" s="8" t="s">
        <v>321</v>
      </c>
      <c r="B59" s="9"/>
      <c r="C59" s="9"/>
      <c r="D59" s="9"/>
      <c r="E59" s="9"/>
      <c r="F59" s="9"/>
      <c r="G59" s="9"/>
      <c r="H59" s="9" t="str">
        <f t="shared" si="1"/>
        <v>SIN REVISAR</v>
      </c>
    </row>
    <row r="60" spans="1:8" x14ac:dyDescent="0.35">
      <c r="A60" s="8" t="s">
        <v>322</v>
      </c>
      <c r="B60" s="9"/>
      <c r="C60" s="9"/>
      <c r="D60" s="9"/>
      <c r="E60" s="9"/>
      <c r="F60" s="9"/>
      <c r="G60" s="9"/>
      <c r="H60" s="9" t="str">
        <f t="shared" si="1"/>
        <v>SIN REVISAR</v>
      </c>
    </row>
    <row r="61" spans="1:8" x14ac:dyDescent="0.35">
      <c r="A61" s="8" t="s">
        <v>323</v>
      </c>
      <c r="B61" s="9"/>
      <c r="C61" s="9"/>
      <c r="D61" s="9"/>
      <c r="E61" s="9"/>
      <c r="F61" s="9"/>
      <c r="G61" s="9"/>
      <c r="H61" s="9" t="str">
        <f t="shared" si="1"/>
        <v>SIN REVISAR</v>
      </c>
    </row>
    <row r="62" spans="1:8" x14ac:dyDescent="0.35">
      <c r="A62" s="8" t="s">
        <v>324</v>
      </c>
      <c r="B62" s="9"/>
      <c r="C62" s="9"/>
      <c r="D62" s="9"/>
      <c r="E62" s="9"/>
      <c r="F62" s="9"/>
      <c r="G62" s="9"/>
      <c r="H62" s="9" t="str">
        <f t="shared" si="1"/>
        <v>SIN REVISAR</v>
      </c>
    </row>
    <row r="63" spans="1:8" x14ac:dyDescent="0.35">
      <c r="A63" s="8" t="s">
        <v>325</v>
      </c>
      <c r="B63" s="9"/>
      <c r="C63" s="9"/>
      <c r="D63" s="9"/>
      <c r="E63" s="9"/>
      <c r="F63" s="9"/>
      <c r="G63" s="9"/>
      <c r="H63" s="9" t="str">
        <f t="shared" si="1"/>
        <v>SIN REVISAR</v>
      </c>
    </row>
    <row r="64" spans="1:8" x14ac:dyDescent="0.35">
      <c r="A64" s="8" t="s">
        <v>326</v>
      </c>
      <c r="B64" s="9"/>
      <c r="C64" s="9"/>
      <c r="D64" s="9"/>
      <c r="E64" s="9"/>
      <c r="F64" s="9"/>
      <c r="G64" s="9"/>
      <c r="H64" s="9" t="str">
        <f t="shared" si="1"/>
        <v>SIN REVISAR</v>
      </c>
    </row>
    <row r="65" spans="1:8" x14ac:dyDescent="0.35">
      <c r="A65" s="8" t="s">
        <v>327</v>
      </c>
      <c r="B65" s="9"/>
      <c r="C65" s="9"/>
      <c r="D65" s="9"/>
      <c r="E65" s="9"/>
      <c r="F65" s="9"/>
      <c r="G65" s="9"/>
      <c r="H65" s="9" t="str">
        <f t="shared" si="1"/>
        <v>SIN REVISAR</v>
      </c>
    </row>
    <row r="66" spans="1:8" x14ac:dyDescent="0.35">
      <c r="A66" s="8" t="s">
        <v>328</v>
      </c>
      <c r="B66" s="9"/>
      <c r="C66" s="9"/>
      <c r="D66" s="9"/>
      <c r="E66" s="9"/>
      <c r="F66" s="9"/>
      <c r="G66" s="9"/>
      <c r="H66" s="9" t="str">
        <f t="shared" ref="H66:H97" si="2">IF(F66="Sí","FUERA DE SERVICIO",IF(AND(B66="Sí",C66="Sí",D66="Sí",E66="Sí"),"COMPLETO",IF(COUNTIF(B66:E66,"Sí")&gt;0,"EN PROCESO","SIN REVISAR")))</f>
        <v>SIN REVISAR</v>
      </c>
    </row>
    <row r="67" spans="1:8" x14ac:dyDescent="0.35">
      <c r="A67" s="8" t="s">
        <v>329</v>
      </c>
      <c r="B67" s="9"/>
      <c r="C67" s="9"/>
      <c r="D67" s="9"/>
      <c r="E67" s="9"/>
      <c r="F67" s="9"/>
      <c r="G67" s="9"/>
      <c r="H67" s="9" t="str">
        <f t="shared" si="2"/>
        <v>SIN REVISAR</v>
      </c>
    </row>
    <row r="68" spans="1:8" x14ac:dyDescent="0.35">
      <c r="A68" s="8" t="s">
        <v>330</v>
      </c>
      <c r="B68" s="9"/>
      <c r="C68" s="9"/>
      <c r="D68" s="9"/>
      <c r="E68" s="9"/>
      <c r="F68" s="9"/>
      <c r="G68" s="9"/>
      <c r="H68" s="9" t="str">
        <f t="shared" si="2"/>
        <v>SIN REVISAR</v>
      </c>
    </row>
    <row r="69" spans="1:8" x14ac:dyDescent="0.35">
      <c r="A69" s="8" t="s">
        <v>331</v>
      </c>
      <c r="B69" s="9"/>
      <c r="C69" s="9"/>
      <c r="D69" s="9"/>
      <c r="E69" s="9"/>
      <c r="F69" s="9"/>
      <c r="G69" s="9"/>
      <c r="H69" s="9" t="str">
        <f t="shared" si="2"/>
        <v>SIN REVISAR</v>
      </c>
    </row>
    <row r="70" spans="1:8" x14ac:dyDescent="0.35">
      <c r="A70" s="8" t="s">
        <v>332</v>
      </c>
      <c r="B70" s="9"/>
      <c r="C70" s="9"/>
      <c r="D70" s="9"/>
      <c r="E70" s="9"/>
      <c r="F70" s="9"/>
      <c r="G70" s="9"/>
      <c r="H70" s="9" t="str">
        <f t="shared" si="2"/>
        <v>SIN REVISAR</v>
      </c>
    </row>
    <row r="71" spans="1:8" x14ac:dyDescent="0.35">
      <c r="A71" s="8" t="s">
        <v>333</v>
      </c>
      <c r="B71" s="9"/>
      <c r="C71" s="9"/>
      <c r="D71" s="9"/>
      <c r="E71" s="9"/>
      <c r="F71" s="9"/>
      <c r="G71" s="9"/>
      <c r="H71" s="9" t="str">
        <f t="shared" si="2"/>
        <v>SIN REVISAR</v>
      </c>
    </row>
    <row r="72" spans="1:8" x14ac:dyDescent="0.35">
      <c r="A72" s="8" t="s">
        <v>334</v>
      </c>
      <c r="B72" s="9"/>
      <c r="C72" s="9"/>
      <c r="D72" s="9"/>
      <c r="E72" s="9"/>
      <c r="F72" s="9"/>
      <c r="G72" s="9"/>
      <c r="H72" s="9" t="str">
        <f t="shared" si="2"/>
        <v>SIN REVISAR</v>
      </c>
    </row>
    <row r="73" spans="1:8" x14ac:dyDescent="0.35">
      <c r="A73" s="8" t="s">
        <v>335</v>
      </c>
      <c r="B73" s="9"/>
      <c r="C73" s="9"/>
      <c r="D73" s="9"/>
      <c r="E73" s="9"/>
      <c r="F73" s="9"/>
      <c r="G73" s="9"/>
      <c r="H73" s="9" t="str">
        <f t="shared" si="2"/>
        <v>SIN REVISAR</v>
      </c>
    </row>
    <row r="74" spans="1:8" x14ac:dyDescent="0.35">
      <c r="A74" s="8" t="s">
        <v>336</v>
      </c>
      <c r="B74" s="9"/>
      <c r="C74" s="9"/>
      <c r="D74" s="9"/>
      <c r="E74" s="9"/>
      <c r="F74" s="9"/>
      <c r="G74" s="9"/>
      <c r="H74" s="9" t="str">
        <f t="shared" si="2"/>
        <v>SIN REVISAR</v>
      </c>
    </row>
    <row r="75" spans="1:8" x14ac:dyDescent="0.35">
      <c r="A75" s="8" t="s">
        <v>337</v>
      </c>
      <c r="B75" s="9"/>
      <c r="C75" s="9"/>
      <c r="D75" s="9"/>
      <c r="E75" s="9"/>
      <c r="F75" s="9"/>
      <c r="G75" s="9"/>
      <c r="H75" s="9" t="str">
        <f t="shared" si="2"/>
        <v>SIN REVISAR</v>
      </c>
    </row>
    <row r="76" spans="1:8" x14ac:dyDescent="0.35">
      <c r="A76" s="8" t="s">
        <v>338</v>
      </c>
      <c r="B76" s="9"/>
      <c r="C76" s="9"/>
      <c r="D76" s="9"/>
      <c r="E76" s="9"/>
      <c r="F76" s="9"/>
      <c r="G76" s="9"/>
      <c r="H76" s="9" t="str">
        <f t="shared" si="2"/>
        <v>SIN REVISAR</v>
      </c>
    </row>
    <row r="77" spans="1:8" x14ac:dyDescent="0.35">
      <c r="A77" s="8" t="s">
        <v>339</v>
      </c>
      <c r="B77" s="9"/>
      <c r="C77" s="9"/>
      <c r="D77" s="9"/>
      <c r="E77" s="9"/>
      <c r="F77" s="9"/>
      <c r="G77" s="9"/>
      <c r="H77" s="9" t="str">
        <f t="shared" si="2"/>
        <v>SIN REVISAR</v>
      </c>
    </row>
    <row r="78" spans="1:8" x14ac:dyDescent="0.35">
      <c r="A78" s="8" t="s">
        <v>340</v>
      </c>
      <c r="B78" s="9"/>
      <c r="C78" s="9"/>
      <c r="D78" s="9"/>
      <c r="E78" s="9"/>
      <c r="F78" s="9"/>
      <c r="G78" s="9"/>
      <c r="H78" s="9" t="str">
        <f t="shared" si="2"/>
        <v>SIN REVISAR</v>
      </c>
    </row>
    <row r="79" spans="1:8" x14ac:dyDescent="0.35">
      <c r="A79" s="8" t="s">
        <v>341</v>
      </c>
      <c r="B79" s="9"/>
      <c r="C79" s="9"/>
      <c r="D79" s="9"/>
      <c r="E79" s="9"/>
      <c r="F79" s="9"/>
      <c r="G79" s="9"/>
      <c r="H79" s="9" t="str">
        <f t="shared" si="2"/>
        <v>SIN REVISAR</v>
      </c>
    </row>
    <row r="80" spans="1:8" x14ac:dyDescent="0.35">
      <c r="A80" s="8" t="s">
        <v>342</v>
      </c>
      <c r="B80" s="9"/>
      <c r="C80" s="9"/>
      <c r="D80" s="9"/>
      <c r="E80" s="9"/>
      <c r="F80" s="9"/>
      <c r="G80" s="9"/>
      <c r="H80" s="9" t="str">
        <f t="shared" si="2"/>
        <v>SIN REVISAR</v>
      </c>
    </row>
    <row r="81" spans="1:8" x14ac:dyDescent="0.35">
      <c r="A81" s="8" t="s">
        <v>343</v>
      </c>
      <c r="B81" s="9"/>
      <c r="C81" s="9"/>
      <c r="D81" s="9"/>
      <c r="E81" s="9"/>
      <c r="F81" s="9"/>
      <c r="G81" s="9"/>
      <c r="H81" s="9" t="str">
        <f t="shared" si="2"/>
        <v>SIN REVISAR</v>
      </c>
    </row>
    <row r="82" spans="1:8" x14ac:dyDescent="0.35">
      <c r="A82" s="8" t="s">
        <v>344</v>
      </c>
      <c r="B82" s="9"/>
      <c r="C82" s="9"/>
      <c r="D82" s="9"/>
      <c r="E82" s="9"/>
      <c r="F82" s="9"/>
      <c r="G82" s="9"/>
      <c r="H82" s="9" t="str">
        <f t="shared" si="2"/>
        <v>SIN REVISAR</v>
      </c>
    </row>
    <row r="83" spans="1:8" x14ac:dyDescent="0.35">
      <c r="A83" s="8" t="s">
        <v>345</v>
      </c>
      <c r="B83" s="9"/>
      <c r="C83" s="9"/>
      <c r="D83" s="9"/>
      <c r="E83" s="9"/>
      <c r="F83" s="9"/>
      <c r="G83" s="9"/>
      <c r="H83" s="9" t="str">
        <f t="shared" si="2"/>
        <v>SIN REVISAR</v>
      </c>
    </row>
    <row r="84" spans="1:8" x14ac:dyDescent="0.35">
      <c r="A84" s="8" t="s">
        <v>346</v>
      </c>
      <c r="B84" s="9"/>
      <c r="C84" s="9"/>
      <c r="D84" s="9"/>
      <c r="E84" s="9"/>
      <c r="F84" s="9"/>
      <c r="G84" s="9"/>
      <c r="H84" s="9" t="str">
        <f t="shared" si="2"/>
        <v>SIN REVISAR</v>
      </c>
    </row>
    <row r="85" spans="1:8" x14ac:dyDescent="0.35">
      <c r="A85" s="8" t="s">
        <v>347</v>
      </c>
      <c r="B85" s="9"/>
      <c r="C85" s="9"/>
      <c r="D85" s="9"/>
      <c r="E85" s="9"/>
      <c r="F85" s="9"/>
      <c r="G85" s="9"/>
      <c r="H85" s="9" t="str">
        <f t="shared" si="2"/>
        <v>SIN REVISAR</v>
      </c>
    </row>
    <row r="86" spans="1:8" x14ac:dyDescent="0.35">
      <c r="A86" s="8" t="s">
        <v>348</v>
      </c>
      <c r="B86" s="9"/>
      <c r="C86" s="9"/>
      <c r="D86" s="9"/>
      <c r="E86" s="9"/>
      <c r="F86" s="9"/>
      <c r="G86" s="9"/>
      <c r="H86" s="9" t="str">
        <f t="shared" si="2"/>
        <v>SIN REVISAR</v>
      </c>
    </row>
    <row r="87" spans="1:8" x14ac:dyDescent="0.35">
      <c r="A87" s="8" t="s">
        <v>349</v>
      </c>
      <c r="B87" s="9"/>
      <c r="C87" s="9"/>
      <c r="D87" s="9"/>
      <c r="E87" s="9"/>
      <c r="F87" s="9"/>
      <c r="G87" s="9"/>
      <c r="H87" s="9" t="str">
        <f t="shared" si="2"/>
        <v>SIN REVISAR</v>
      </c>
    </row>
    <row r="88" spans="1:8" x14ac:dyDescent="0.35">
      <c r="A88" s="8" t="s">
        <v>350</v>
      </c>
      <c r="B88" s="9"/>
      <c r="C88" s="9"/>
      <c r="D88" s="9"/>
      <c r="E88" s="9"/>
      <c r="F88" s="9"/>
      <c r="G88" s="9"/>
      <c r="H88" s="9" t="str">
        <f t="shared" si="2"/>
        <v>SIN REVISAR</v>
      </c>
    </row>
    <row r="89" spans="1:8" x14ac:dyDescent="0.35">
      <c r="A89" s="8" t="s">
        <v>351</v>
      </c>
      <c r="B89" s="9"/>
      <c r="C89" s="9"/>
      <c r="D89" s="9"/>
      <c r="E89" s="9"/>
      <c r="F89" s="9"/>
      <c r="G89" s="9"/>
      <c r="H89" s="9" t="str">
        <f t="shared" si="2"/>
        <v>SIN REVISAR</v>
      </c>
    </row>
    <row r="90" spans="1:8" x14ac:dyDescent="0.35">
      <c r="A90" s="8" t="s">
        <v>352</v>
      </c>
      <c r="B90" s="9"/>
      <c r="C90" s="9"/>
      <c r="D90" s="9"/>
      <c r="E90" s="9"/>
      <c r="F90" s="9"/>
      <c r="G90" s="9"/>
      <c r="H90" s="9" t="str">
        <f t="shared" si="2"/>
        <v>SIN REVISAR</v>
      </c>
    </row>
    <row r="91" spans="1:8" x14ac:dyDescent="0.35">
      <c r="A91" s="8" t="s">
        <v>353</v>
      </c>
      <c r="B91" s="9"/>
      <c r="C91" s="9"/>
      <c r="D91" s="9"/>
      <c r="E91" s="9"/>
      <c r="F91" s="9"/>
      <c r="G91" s="9"/>
      <c r="H91" s="9" t="str">
        <f t="shared" si="2"/>
        <v>SIN REVISAR</v>
      </c>
    </row>
    <row r="92" spans="1:8" x14ac:dyDescent="0.35">
      <c r="A92" s="8" t="s">
        <v>354</v>
      </c>
      <c r="B92" s="9"/>
      <c r="C92" s="9"/>
      <c r="D92" s="9"/>
      <c r="E92" s="9"/>
      <c r="F92" s="9"/>
      <c r="G92" s="9"/>
      <c r="H92" s="9" t="str">
        <f t="shared" si="2"/>
        <v>SIN REVISAR</v>
      </c>
    </row>
    <row r="93" spans="1:8" x14ac:dyDescent="0.35">
      <c r="A93" s="8" t="s">
        <v>355</v>
      </c>
      <c r="B93" s="9"/>
      <c r="C93" s="9"/>
      <c r="D93" s="9"/>
      <c r="E93" s="9"/>
      <c r="F93" s="9"/>
      <c r="G93" s="9"/>
      <c r="H93" s="9" t="str">
        <f t="shared" si="2"/>
        <v>SIN REVISAR</v>
      </c>
    </row>
    <row r="94" spans="1:8" x14ac:dyDescent="0.35">
      <c r="A94" s="8" t="s">
        <v>356</v>
      </c>
      <c r="B94" s="9"/>
      <c r="C94" s="9"/>
      <c r="D94" s="9"/>
      <c r="E94" s="9"/>
      <c r="F94" s="9"/>
      <c r="G94" s="9"/>
      <c r="H94" s="9" t="str">
        <f t="shared" si="2"/>
        <v>SIN REVISAR</v>
      </c>
    </row>
    <row r="95" spans="1:8" x14ac:dyDescent="0.35">
      <c r="A95" s="8" t="s">
        <v>357</v>
      </c>
      <c r="B95" s="9"/>
      <c r="C95" s="9"/>
      <c r="D95" s="9"/>
      <c r="E95" s="9"/>
      <c r="F95" s="9"/>
      <c r="G95" s="9"/>
      <c r="H95" s="9" t="str">
        <f t="shared" si="2"/>
        <v>SIN REVISAR</v>
      </c>
    </row>
    <row r="96" spans="1:8" x14ac:dyDescent="0.35">
      <c r="A96" s="8" t="s">
        <v>358</v>
      </c>
      <c r="B96" s="9"/>
      <c r="C96" s="9"/>
      <c r="D96" s="9"/>
      <c r="E96" s="9"/>
      <c r="F96" s="9"/>
      <c r="G96" s="9"/>
      <c r="H96" s="9" t="str">
        <f t="shared" si="2"/>
        <v>SIN REVISAR</v>
      </c>
    </row>
    <row r="97" spans="1:8" x14ac:dyDescent="0.35">
      <c r="A97" s="8" t="s">
        <v>359</v>
      </c>
      <c r="B97" s="9"/>
      <c r="C97" s="9"/>
      <c r="D97" s="9"/>
      <c r="E97" s="9"/>
      <c r="F97" s="9"/>
      <c r="G97" s="9"/>
      <c r="H97" s="9" t="str">
        <f t="shared" si="2"/>
        <v>SIN REVISAR</v>
      </c>
    </row>
    <row r="98" spans="1:8" x14ac:dyDescent="0.35">
      <c r="A98" s="8" t="s">
        <v>360</v>
      </c>
      <c r="B98" s="9"/>
      <c r="C98" s="9"/>
      <c r="D98" s="9"/>
      <c r="E98" s="9"/>
      <c r="F98" s="9"/>
      <c r="G98" s="9"/>
      <c r="H98" s="9" t="str">
        <f t="shared" ref="H98:H126" si="3">IF(F98="Sí","FUERA DE SERVICIO",IF(AND(B98="Sí",C98="Sí",D98="Sí",E98="Sí"),"COMPLETO",IF(COUNTIF(B98:E98,"Sí")&gt;0,"EN PROCESO","SIN REVISAR")))</f>
        <v>SIN REVISAR</v>
      </c>
    </row>
    <row r="99" spans="1:8" x14ac:dyDescent="0.35">
      <c r="A99" s="8" t="s">
        <v>361</v>
      </c>
      <c r="B99" s="9"/>
      <c r="C99" s="9"/>
      <c r="D99" s="9"/>
      <c r="E99" s="9"/>
      <c r="F99" s="9"/>
      <c r="G99" s="9"/>
      <c r="H99" s="9" t="str">
        <f t="shared" si="3"/>
        <v>SIN REVISAR</v>
      </c>
    </row>
    <row r="100" spans="1:8" x14ac:dyDescent="0.35">
      <c r="A100" s="8" t="s">
        <v>362</v>
      </c>
      <c r="B100" s="9"/>
      <c r="C100" s="9"/>
      <c r="D100" s="9"/>
      <c r="E100" s="9"/>
      <c r="F100" s="9"/>
      <c r="G100" s="9"/>
      <c r="H100" s="9" t="str">
        <f t="shared" si="3"/>
        <v>SIN REVISAR</v>
      </c>
    </row>
    <row r="101" spans="1:8" x14ac:dyDescent="0.35">
      <c r="A101" s="8" t="s">
        <v>363</v>
      </c>
      <c r="B101" s="9"/>
      <c r="C101" s="9"/>
      <c r="D101" s="9"/>
      <c r="E101" s="9"/>
      <c r="F101" s="9"/>
      <c r="G101" s="9"/>
      <c r="H101" s="9" t="str">
        <f t="shared" si="3"/>
        <v>SIN REVISAR</v>
      </c>
    </row>
    <row r="102" spans="1:8" x14ac:dyDescent="0.35">
      <c r="A102" s="8" t="s">
        <v>364</v>
      </c>
      <c r="B102" s="9"/>
      <c r="C102" s="9"/>
      <c r="D102" s="9"/>
      <c r="E102" s="9"/>
      <c r="F102" s="9"/>
      <c r="G102" s="9"/>
      <c r="H102" s="9" t="str">
        <f t="shared" si="3"/>
        <v>SIN REVISAR</v>
      </c>
    </row>
    <row r="103" spans="1:8" x14ac:dyDescent="0.35">
      <c r="A103" s="8" t="s">
        <v>365</v>
      </c>
      <c r="B103" s="9"/>
      <c r="C103" s="9"/>
      <c r="D103" s="9"/>
      <c r="E103" s="9"/>
      <c r="F103" s="9"/>
      <c r="G103" s="9"/>
      <c r="H103" s="9" t="str">
        <f t="shared" si="3"/>
        <v>SIN REVISAR</v>
      </c>
    </row>
    <row r="104" spans="1:8" x14ac:dyDescent="0.35">
      <c r="A104" s="8" t="s">
        <v>366</v>
      </c>
      <c r="B104" s="9"/>
      <c r="C104" s="9"/>
      <c r="D104" s="9"/>
      <c r="E104" s="9"/>
      <c r="F104" s="9"/>
      <c r="G104" s="9"/>
      <c r="H104" s="9" t="str">
        <f t="shared" si="3"/>
        <v>SIN REVISAR</v>
      </c>
    </row>
    <row r="105" spans="1:8" x14ac:dyDescent="0.35">
      <c r="A105" s="8" t="s">
        <v>367</v>
      </c>
      <c r="B105" s="9"/>
      <c r="C105" s="9"/>
      <c r="D105" s="9"/>
      <c r="E105" s="9"/>
      <c r="F105" s="9"/>
      <c r="G105" s="9"/>
      <c r="H105" s="9" t="str">
        <f t="shared" si="3"/>
        <v>SIN REVISAR</v>
      </c>
    </row>
    <row r="106" spans="1:8" x14ac:dyDescent="0.35">
      <c r="A106" s="8" t="s">
        <v>368</v>
      </c>
      <c r="B106" s="9"/>
      <c r="C106" s="9"/>
      <c r="D106" s="9"/>
      <c r="E106" s="9"/>
      <c r="F106" s="9"/>
      <c r="G106" s="9"/>
      <c r="H106" s="9" t="str">
        <f t="shared" si="3"/>
        <v>SIN REVISAR</v>
      </c>
    </row>
    <row r="107" spans="1:8" x14ac:dyDescent="0.35">
      <c r="A107" s="8" t="s">
        <v>369</v>
      </c>
      <c r="B107" s="9"/>
      <c r="C107" s="9"/>
      <c r="D107" s="9"/>
      <c r="E107" s="9"/>
      <c r="F107" s="9"/>
      <c r="G107" s="9"/>
      <c r="H107" s="9" t="str">
        <f t="shared" si="3"/>
        <v>SIN REVISAR</v>
      </c>
    </row>
    <row r="108" spans="1:8" x14ac:dyDescent="0.35">
      <c r="A108" s="8" t="s">
        <v>369</v>
      </c>
      <c r="B108" s="9"/>
      <c r="C108" s="9"/>
      <c r="D108" s="9"/>
      <c r="E108" s="9"/>
      <c r="F108" s="9"/>
      <c r="G108" s="9"/>
      <c r="H108" s="9" t="str">
        <f t="shared" si="3"/>
        <v>SIN REVISAR</v>
      </c>
    </row>
    <row r="109" spans="1:8" x14ac:dyDescent="0.35">
      <c r="A109" s="8" t="s">
        <v>370</v>
      </c>
      <c r="B109" s="9"/>
      <c r="C109" s="9"/>
      <c r="D109" s="9"/>
      <c r="E109" s="9"/>
      <c r="F109" s="9"/>
      <c r="G109" s="9"/>
      <c r="H109" s="9" t="str">
        <f t="shared" si="3"/>
        <v>SIN REVISAR</v>
      </c>
    </row>
    <row r="110" spans="1:8" x14ac:dyDescent="0.35">
      <c r="A110" s="8" t="s">
        <v>371</v>
      </c>
      <c r="B110" s="9"/>
      <c r="C110" s="9"/>
      <c r="D110" s="9"/>
      <c r="E110" s="9"/>
      <c r="F110" s="9"/>
      <c r="G110" s="9"/>
      <c r="H110" s="9" t="str">
        <f t="shared" si="3"/>
        <v>SIN REVISAR</v>
      </c>
    </row>
    <row r="111" spans="1:8" x14ac:dyDescent="0.35">
      <c r="A111" s="8" t="s">
        <v>372</v>
      </c>
      <c r="B111" s="9"/>
      <c r="C111" s="9"/>
      <c r="D111" s="9"/>
      <c r="E111" s="9"/>
      <c r="F111" s="9"/>
      <c r="G111" s="9"/>
      <c r="H111" s="9" t="str">
        <f t="shared" si="3"/>
        <v>SIN REVISAR</v>
      </c>
    </row>
    <row r="112" spans="1:8" x14ac:dyDescent="0.35">
      <c r="A112" s="8" t="s">
        <v>373</v>
      </c>
      <c r="B112" s="9"/>
      <c r="C112" s="9"/>
      <c r="D112" s="9"/>
      <c r="E112" s="9"/>
      <c r="F112" s="9"/>
      <c r="G112" s="9"/>
      <c r="H112" s="9" t="str">
        <f t="shared" si="3"/>
        <v>SIN REVISAR</v>
      </c>
    </row>
    <row r="113" spans="1:8" x14ac:dyDescent="0.35">
      <c r="A113" s="8" t="s">
        <v>374</v>
      </c>
      <c r="B113" s="9"/>
      <c r="C113" s="9"/>
      <c r="D113" s="9"/>
      <c r="E113" s="9"/>
      <c r="F113" s="9"/>
      <c r="G113" s="9"/>
      <c r="H113" s="9" t="str">
        <f t="shared" si="3"/>
        <v>SIN REVISAR</v>
      </c>
    </row>
    <row r="114" spans="1:8" x14ac:dyDescent="0.35">
      <c r="A114" s="8" t="s">
        <v>375</v>
      </c>
      <c r="B114" s="9"/>
      <c r="C114" s="9"/>
      <c r="D114" s="9"/>
      <c r="E114" s="9"/>
      <c r="F114" s="9"/>
      <c r="G114" s="9"/>
      <c r="H114" s="9" t="str">
        <f t="shared" si="3"/>
        <v>SIN REVISAR</v>
      </c>
    </row>
    <row r="115" spans="1:8" x14ac:dyDescent="0.35">
      <c r="A115" s="8" t="s">
        <v>376</v>
      </c>
      <c r="B115" s="9"/>
      <c r="C115" s="9"/>
      <c r="D115" s="9"/>
      <c r="E115" s="9"/>
      <c r="F115" s="9"/>
      <c r="G115" s="9"/>
      <c r="H115" s="9" t="str">
        <f t="shared" si="3"/>
        <v>SIN REVISAR</v>
      </c>
    </row>
    <row r="116" spans="1:8" x14ac:dyDescent="0.35">
      <c r="A116" s="8" t="s">
        <v>377</v>
      </c>
      <c r="B116" s="9"/>
      <c r="C116" s="9"/>
      <c r="D116" s="9"/>
      <c r="E116" s="9"/>
      <c r="F116" s="9"/>
      <c r="G116" s="9"/>
      <c r="H116" s="9" t="str">
        <f t="shared" si="3"/>
        <v>SIN REVISAR</v>
      </c>
    </row>
    <row r="117" spans="1:8" x14ac:dyDescent="0.35">
      <c r="A117" s="8" t="s">
        <v>378</v>
      </c>
      <c r="B117" s="9"/>
      <c r="C117" s="9"/>
      <c r="D117" s="9"/>
      <c r="E117" s="9"/>
      <c r="F117" s="9"/>
      <c r="G117" s="9"/>
      <c r="H117" s="9" t="str">
        <f t="shared" si="3"/>
        <v>SIN REVISAR</v>
      </c>
    </row>
    <row r="118" spans="1:8" x14ac:dyDescent="0.35">
      <c r="A118" s="8" t="s">
        <v>379</v>
      </c>
      <c r="B118" s="9"/>
      <c r="C118" s="9"/>
      <c r="D118" s="9"/>
      <c r="E118" s="9"/>
      <c r="F118" s="9"/>
      <c r="G118" s="9"/>
      <c r="H118" s="9" t="str">
        <f t="shared" si="3"/>
        <v>SIN REVISAR</v>
      </c>
    </row>
    <row r="119" spans="1:8" x14ac:dyDescent="0.35">
      <c r="A119" s="8" t="s">
        <v>380</v>
      </c>
      <c r="B119" s="9"/>
      <c r="C119" s="9"/>
      <c r="D119" s="9"/>
      <c r="E119" s="9"/>
      <c r="F119" s="9"/>
      <c r="G119" s="9"/>
      <c r="H119" s="9" t="str">
        <f t="shared" si="3"/>
        <v>SIN REVISAR</v>
      </c>
    </row>
    <row r="120" spans="1:8" x14ac:dyDescent="0.35">
      <c r="A120" s="8" t="s">
        <v>381</v>
      </c>
      <c r="B120" s="9"/>
      <c r="C120" s="9"/>
      <c r="D120" s="9"/>
      <c r="E120" s="9"/>
      <c r="F120" s="9"/>
      <c r="G120" s="9"/>
      <c r="H120" s="9" t="str">
        <f t="shared" si="3"/>
        <v>SIN REVISAR</v>
      </c>
    </row>
    <row r="121" spans="1:8" x14ac:dyDescent="0.35">
      <c r="A121" s="8" t="s">
        <v>382</v>
      </c>
      <c r="B121" s="9"/>
      <c r="C121" s="9"/>
      <c r="D121" s="9"/>
      <c r="E121" s="9"/>
      <c r="F121" s="9"/>
      <c r="G121" s="9"/>
      <c r="H121" s="9" t="str">
        <f t="shared" si="3"/>
        <v>SIN REVISAR</v>
      </c>
    </row>
    <row r="122" spans="1:8" x14ac:dyDescent="0.35">
      <c r="A122" s="8" t="s">
        <v>383</v>
      </c>
      <c r="B122" s="9"/>
      <c r="C122" s="9"/>
      <c r="D122" s="9"/>
      <c r="E122" s="9"/>
      <c r="F122" s="9"/>
      <c r="G122" s="9"/>
      <c r="H122" s="9" t="str">
        <f t="shared" si="3"/>
        <v>SIN REVISAR</v>
      </c>
    </row>
    <row r="123" spans="1:8" x14ac:dyDescent="0.35">
      <c r="A123" s="8" t="s">
        <v>384</v>
      </c>
      <c r="B123" s="9"/>
      <c r="C123" s="9"/>
      <c r="D123" s="9"/>
      <c r="E123" s="9"/>
      <c r="F123" s="9"/>
      <c r="G123" s="9"/>
      <c r="H123" s="9" t="str">
        <f t="shared" si="3"/>
        <v>SIN REVISAR</v>
      </c>
    </row>
    <row r="124" spans="1:8" x14ac:dyDescent="0.35">
      <c r="A124" s="8" t="s">
        <v>385</v>
      </c>
      <c r="B124" s="9"/>
      <c r="C124" s="9"/>
      <c r="D124" s="9"/>
      <c r="E124" s="9"/>
      <c r="F124" s="9"/>
      <c r="G124" s="9"/>
      <c r="H124" s="9" t="str">
        <f t="shared" si="3"/>
        <v>SIN REVISAR</v>
      </c>
    </row>
    <row r="125" spans="1:8" x14ac:dyDescent="0.35">
      <c r="A125" s="8" t="s">
        <v>386</v>
      </c>
      <c r="B125" s="9"/>
      <c r="C125" s="9"/>
      <c r="D125" s="9"/>
      <c r="E125" s="9"/>
      <c r="F125" s="9"/>
      <c r="G125" s="9"/>
      <c r="H125" s="9" t="str">
        <f t="shared" si="3"/>
        <v>SIN REVISAR</v>
      </c>
    </row>
    <row r="126" spans="1:8" x14ac:dyDescent="0.35">
      <c r="A126" s="8" t="s">
        <v>247</v>
      </c>
      <c r="B126" s="9"/>
      <c r="C126" s="9"/>
      <c r="D126" s="9"/>
      <c r="E126" s="9"/>
      <c r="F126" s="9"/>
      <c r="G126" s="9"/>
      <c r="H126" s="9" t="str">
        <f t="shared" si="3"/>
        <v>SIN REVISAR</v>
      </c>
    </row>
  </sheetData>
  <dataValidations count="1">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xr:uid="{00000000-0002-0000-0200-000000000000}">
      <formula1>"Sí,No"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0.749992370372631"/>
  </sheetPr>
  <dimension ref="A1:H13"/>
  <sheetViews>
    <sheetView showGridLines="0" zoomScale="60" zoomScaleNormal="60" workbookViewId="0">
      <selection activeCell="T26" sqref="T26"/>
    </sheetView>
  </sheetViews>
  <sheetFormatPr baseColWidth="10" defaultColWidth="8.7265625" defaultRowHeight="14.5" x14ac:dyDescent="0.35"/>
  <cols>
    <col min="1" max="1" width="28.7265625" bestFit="1" customWidth="1"/>
  </cols>
  <sheetData>
    <row r="1" spans="1:8" ht="23.5" customHeight="1" x14ac:dyDescent="0.55000000000000004">
      <c r="A1" s="2" t="s">
        <v>0</v>
      </c>
    </row>
    <row r="3" spans="1:8" ht="16" customHeight="1" x14ac:dyDescent="0.4">
      <c r="A3" s="3" t="s">
        <v>1</v>
      </c>
      <c r="B3" s="3">
        <f>SUM(B11:B13)</f>
        <v>374</v>
      </c>
      <c r="D3" s="5"/>
      <c r="E3" s="5"/>
      <c r="G3" s="6"/>
      <c r="H3" s="6"/>
    </row>
    <row r="4" spans="1:8" ht="16" customHeight="1" x14ac:dyDescent="0.4">
      <c r="A4" s="3" t="s">
        <v>2</v>
      </c>
      <c r="B4" s="3">
        <f>SUM(C11:C13)</f>
        <v>0</v>
      </c>
      <c r="D4" s="5"/>
      <c r="E4" s="5"/>
      <c r="G4" s="6"/>
      <c r="H4" s="6"/>
    </row>
    <row r="5" spans="1:8" ht="16" customHeight="1" x14ac:dyDescent="0.4">
      <c r="A5" s="3" t="s">
        <v>3</v>
      </c>
      <c r="B5" s="3">
        <f>SUM(D11:D13)</f>
        <v>374</v>
      </c>
      <c r="D5" s="5"/>
      <c r="E5" s="5"/>
      <c r="G5" s="6"/>
      <c r="H5" s="6"/>
    </row>
    <row r="6" spans="1:8" ht="16" customHeight="1" x14ac:dyDescent="0.4">
      <c r="A6" s="3"/>
      <c r="B6" s="4"/>
      <c r="D6" s="5"/>
      <c r="E6" s="5"/>
      <c r="G6" s="6"/>
      <c r="H6" s="6"/>
    </row>
    <row r="10" spans="1:8" x14ac:dyDescent="0.35">
      <c r="A10" s="1" t="s">
        <v>4</v>
      </c>
      <c r="B10" s="1" t="s">
        <v>5</v>
      </c>
      <c r="C10" s="1" t="s">
        <v>2</v>
      </c>
      <c r="D10" s="1" t="s">
        <v>3</v>
      </c>
    </row>
    <row r="11" spans="1:8" x14ac:dyDescent="0.35">
      <c r="A11" s="1" t="s">
        <v>6</v>
      </c>
      <c r="B11" s="1">
        <f>COUNTA(ENGATIVA!A2:A122)</f>
        <v>121</v>
      </c>
      <c r="C11" s="1">
        <f>SUMPRODUCT((ENGATIVA!B2:B122="Sí")+(ENGATIVA!C2:C122="Sí")+(ENGATIVA!D2:D122="Sí")+(ENGATIVA!E2:E122="Sí")&gt;0)</f>
        <v>0</v>
      </c>
      <c r="D11" s="1">
        <f>B11-C11</f>
        <v>121</v>
      </c>
    </row>
    <row r="12" spans="1:8" x14ac:dyDescent="0.35">
      <c r="A12" s="1" t="s">
        <v>7</v>
      </c>
      <c r="B12" s="1">
        <f>COUNTA(SUBA!A2:A129)</f>
        <v>128</v>
      </c>
      <c r="C12" s="1">
        <f>SUMPRODUCT((SUBA!B2:B129="Sí")+(SUBA!C2:C129="Sí")+(SUBA!D2:D129="Sí")+(SUBA!E2:E129="Sí")&gt;0)</f>
        <v>0</v>
      </c>
      <c r="D12" s="1">
        <f>B12-C12</f>
        <v>128</v>
      </c>
    </row>
    <row r="13" spans="1:8" x14ac:dyDescent="0.35">
      <c r="A13" s="1" t="s">
        <v>8</v>
      </c>
      <c r="B13" s="1">
        <f>COUNTA(CONEJERA!A2:A126)</f>
        <v>125</v>
      </c>
      <c r="C13" s="1">
        <f>SUMPRODUCT((CONEJERA!B2:B126="Sí")+(CONEJERA!C2:C126="Sí")+(CONEJERA!D2:D126="Sí")+(CONEJERA!E2:E126="Sí")&gt;0)</f>
        <v>0</v>
      </c>
      <c r="D13" s="1">
        <f>B13-C13</f>
        <v>125</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ENGATIVA</vt:lpstr>
      <vt:lpstr>SUBA</vt:lpstr>
      <vt:lpstr>CONEJERA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ESPITIA MONTENEGRO</dc:creator>
  <cp:lastModifiedBy>Ricardo Carvajal</cp:lastModifiedBy>
  <dcterms:created xsi:type="dcterms:W3CDTF">2026-07-22T01:59:50Z</dcterms:created>
  <dcterms:modified xsi:type="dcterms:W3CDTF">2026-07-24T03:02:20Z</dcterms:modified>
</cp:coreProperties>
</file>